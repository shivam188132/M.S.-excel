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64011"/>
  <bookViews>
    <workbookView xWindow="0" yWindow="0" windowWidth="12288" windowHeight="5328" tabRatio="621" activeTab="1"/>
  </bookViews>
  <sheets>
    <sheet name="Monthly budget" sheetId="1" r:id="rId1"/>
    <sheet name="Monthly budget-pie chart" sheetId="4" r:id="rId2"/>
    <sheet name="Sheet1" sheetId="3" r:id="rId3"/>
  </sheets>
  <definedNames>
    <definedName name="_xlnm.Print_Area" localSheetId="1">'Monthly budget-pie chart'!$A$5:$F$13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4" l="1"/>
  <c r="C18" i="4"/>
  <c r="B18" i="4"/>
  <c r="D17" i="4"/>
  <c r="C17" i="4"/>
  <c r="B17" i="4"/>
  <c r="E17" i="4" s="1"/>
  <c r="D16" i="4"/>
  <c r="C16" i="4"/>
  <c r="B16" i="4"/>
  <c r="D15" i="4"/>
  <c r="C15" i="4"/>
  <c r="B15" i="4"/>
  <c r="D13" i="4"/>
  <c r="C13" i="4"/>
  <c r="B13" i="4"/>
  <c r="E13" i="4" s="1"/>
  <c r="E11" i="4"/>
  <c r="E10" i="4"/>
  <c r="E9" i="4"/>
  <c r="E8" i="4"/>
  <c r="E7" i="4"/>
  <c r="E16" i="4" l="1"/>
  <c r="F7" i="4"/>
  <c r="F9" i="4"/>
  <c r="F10" i="4"/>
  <c r="F11" i="4"/>
  <c r="F13" i="4"/>
  <c r="F8" i="4"/>
  <c r="G7" i="1"/>
  <c r="G8" i="1"/>
  <c r="G9" i="1"/>
  <c r="G10" i="1"/>
  <c r="G6" i="1"/>
  <c r="D12" i="1"/>
  <c r="E12" i="1"/>
  <c r="C12" i="1"/>
  <c r="E17" i="1"/>
  <c r="D17" i="1"/>
  <c r="C17" i="1"/>
  <c r="E16" i="1"/>
  <c r="D16" i="1"/>
  <c r="E15" i="1"/>
  <c r="D15" i="1"/>
  <c r="E14" i="1"/>
  <c r="D14" i="1"/>
  <c r="C16" i="1"/>
  <c r="C15" i="1"/>
  <c r="C14" i="1"/>
  <c r="G15" i="1" l="1"/>
  <c r="G16" i="1"/>
  <c r="G12" i="1"/>
  <c r="H6" i="1" s="1"/>
  <c r="H10" i="1" l="1"/>
  <c r="H12" i="1"/>
  <c r="H9" i="1"/>
  <c r="H8" i="1"/>
  <c r="H7" i="1"/>
</calcChain>
</file>

<file path=xl/sharedStrings.xml><?xml version="1.0" encoding="utf-8"?>
<sst xmlns="http://schemas.openxmlformats.org/spreadsheetml/2006/main" count="28" uniqueCount="13">
  <si>
    <t>Bills</t>
  </si>
  <si>
    <t xml:space="preserve">rent </t>
  </si>
  <si>
    <t>phone</t>
  </si>
  <si>
    <t>credit card</t>
  </si>
  <si>
    <t xml:space="preserve">food </t>
  </si>
  <si>
    <t>candy</t>
  </si>
  <si>
    <t>TOTAL</t>
  </si>
  <si>
    <t>Percent</t>
  </si>
  <si>
    <t>MIN</t>
  </si>
  <si>
    <t>MAX</t>
  </si>
  <si>
    <t>AVERAGE</t>
  </si>
  <si>
    <t>COUNT</t>
  </si>
  <si>
    <t>$ Monthly Budget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</si>
</sst>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64" formatCode="mmm/yyyy"/>
    <numFmt numFmtId="165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14"/>
      <color theme="1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450666829432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5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4" borderId="2" applyNumberFormat="0"/>
    <xf numFmtId="0" fontId="4" fillId="4" borderId="2" applyNumberFormat="0"/>
  </cellStyleXfs>
  <cellXfs count="9">
    <xf numFmtId="0" fontId="0" fillId="0" borderId="0" xfId="0"/>
    <xf numFmtId="165" fontId="0" fillId="0" borderId="0" xfId="0" applyNumberFormat="1"/>
    <xf numFmtId="43" fontId="0" fillId="0" borderId="0" xfId="1" applyFont="1"/>
    <xf numFmtId="10" fontId="0" fillId="0" borderId="0" xfId="2" applyNumberFormat="1" applyFont="1"/>
    <xf numFmtId="10" fontId="0" fillId="0" borderId="0" xfId="0" applyNumberFormat="1"/>
    <xf numFmtId="0" fontId="2" fillId="3" borderId="0" xfId="0" applyFont="1" applyFill="1" applyAlignment="1">
      <alignment horizontal="right"/>
    </xf>
    <xf numFmtId="0" fontId="4" fillId="4" borderId="2" xfId="4"/>
    <xf numFmtId="164" fontId="4" fillId="4" borderId="2" xfId="4" applyNumberFormat="1"/>
    <xf numFmtId="0" fontId="3" fillId="2" borderId="1" xfId="0" applyFont="1" applyFill="1" applyBorder="1" applyAlignment="1">
      <alignment horizontal="center"/>
    </xf>
  </cellXfs>
  <cellStyles count="5">
    <cellStyle name="awesome style" xfId="4"/>
    <cellStyle name="Bad" xfId="3" builtinId="27" customBuiltin="1"/>
    <cellStyle name="Comma" xfId="1" builtinId="3"/>
    <cellStyle name="Normal" xfId="0" builtinId="0"/>
    <cellStyle name="Percent" xfId="2" builtinId="5"/>
  </cellStyles>
  <dxfs count="2"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'Monthly budget'!$B$2:$H$2</c:f>
          <c:strCache>
            <c:ptCount val="7"/>
            <c:pt idx="0">
              <c:v>$ Monthly Budget $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289643173938359E-2"/>
          <c:y val="8.045179465209501E-2"/>
          <c:w val="0.87775656936290558"/>
          <c:h val="0.606291938379259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budget'!$B$5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'Monthly budget'!$C$4:$E$4</c:f>
              <c:numCache>
                <c:formatCode>mmm/yyyy</c:formatCode>
                <c:ptCount val="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</c:numCache>
            </c:numRef>
          </c:cat>
          <c:val>
            <c:numRef>
              <c:f>'Monthly budget'!$C$5:$E$5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7506-48A8-B87B-C84A6A5DB8F6}"/>
            </c:ext>
          </c:extLst>
        </c:ser>
        <c:ser>
          <c:idx val="1"/>
          <c:order val="1"/>
          <c:tx>
            <c:strRef>
              <c:f>'Monthly budget'!$B$6</c:f>
              <c:strCache>
                <c:ptCount val="1"/>
                <c:pt idx="0">
                  <c:v>rent 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'Monthly budget'!$C$4:$E$4</c:f>
              <c:numCache>
                <c:formatCode>mmm/yyyy</c:formatCode>
                <c:ptCount val="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</c:numCache>
            </c:numRef>
          </c:cat>
          <c:val>
            <c:numRef>
              <c:f>'Monthly budget'!$C$6:$E$6</c:f>
              <c:numCache>
                <c:formatCode>_-[$$-409]* #,##0.00_ ;_-[$$-409]* \-#,##0.00\ ;_-[$$-409]* "-"??_ ;_-@_ </c:formatCode>
                <c:ptCount val="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06-48A8-B87B-C84A6A5DB8F6}"/>
            </c:ext>
          </c:extLst>
        </c:ser>
        <c:ser>
          <c:idx val="2"/>
          <c:order val="2"/>
          <c:tx>
            <c:strRef>
              <c:f>'Monthly budget'!$B$7</c:f>
              <c:strCache>
                <c:ptCount val="1"/>
                <c:pt idx="0">
                  <c:v>phone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'Monthly budget'!$C$4:$E$4</c:f>
              <c:numCache>
                <c:formatCode>mmm/yyyy</c:formatCode>
                <c:ptCount val="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</c:numCache>
            </c:numRef>
          </c:cat>
          <c:val>
            <c:numRef>
              <c:f>'Monthly budget'!$C$7:$E$7</c:f>
              <c:numCache>
                <c:formatCode>_(* #,##0.00_);_(* \(#,##0.00\);_(* "-"??_);_(@_)</c:formatCode>
                <c:ptCount val="3"/>
                <c:pt idx="0">
                  <c:v>125</c:v>
                </c:pt>
                <c:pt idx="1">
                  <c:v>125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06-48A8-B87B-C84A6A5DB8F6}"/>
            </c:ext>
          </c:extLst>
        </c:ser>
        <c:ser>
          <c:idx val="3"/>
          <c:order val="3"/>
          <c:tx>
            <c:strRef>
              <c:f>'Monthly budget'!$B$8</c:f>
              <c:strCache>
                <c:ptCount val="1"/>
                <c:pt idx="0">
                  <c:v>credit card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'Monthly budget'!$C$4:$E$4</c:f>
              <c:numCache>
                <c:formatCode>mmm/yyyy</c:formatCode>
                <c:ptCount val="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</c:numCache>
            </c:numRef>
          </c:cat>
          <c:val>
            <c:numRef>
              <c:f>'Monthly budget'!$C$8:$E$8</c:f>
              <c:numCache>
                <c:formatCode>_(* #,##0.00_);_(* \(#,##0.00\);_(* "-"??_);_(@_)</c:formatCode>
                <c:ptCount val="3"/>
                <c:pt idx="0">
                  <c:v>150</c:v>
                </c:pt>
                <c:pt idx="1">
                  <c:v>200</c:v>
                </c:pt>
                <c:pt idx="2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06-48A8-B87B-C84A6A5DB8F6}"/>
            </c:ext>
          </c:extLst>
        </c:ser>
        <c:ser>
          <c:idx val="4"/>
          <c:order val="4"/>
          <c:tx>
            <c:strRef>
              <c:f>'Monthly budget'!$B$9</c:f>
              <c:strCache>
                <c:ptCount val="1"/>
                <c:pt idx="0">
                  <c:v>food 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'Monthly budget'!$C$4:$E$4</c:f>
              <c:numCache>
                <c:formatCode>mmm/yyyy</c:formatCode>
                <c:ptCount val="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</c:numCache>
            </c:numRef>
          </c:cat>
          <c:val>
            <c:numRef>
              <c:f>'Monthly budget'!$C$9:$E$9</c:f>
              <c:numCache>
                <c:formatCode>_(* #,##0.00_);_(* \(#,##0.00\);_(* "-"??_);_(@_)</c:formatCode>
                <c:ptCount val="3"/>
                <c:pt idx="0">
                  <c:v>300</c:v>
                </c:pt>
                <c:pt idx="1">
                  <c:v>275</c:v>
                </c:pt>
                <c:pt idx="2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06-48A8-B87B-C84A6A5DB8F6}"/>
            </c:ext>
          </c:extLst>
        </c:ser>
        <c:ser>
          <c:idx val="5"/>
          <c:order val="5"/>
          <c:tx>
            <c:strRef>
              <c:f>'Monthly budget'!$B$10</c:f>
              <c:strCache>
                <c:ptCount val="1"/>
                <c:pt idx="0">
                  <c:v>candy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'Monthly budget'!$C$4:$E$4</c:f>
              <c:numCache>
                <c:formatCode>mmm/yyyy</c:formatCode>
                <c:ptCount val="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</c:numCache>
            </c:numRef>
          </c:cat>
          <c:val>
            <c:numRef>
              <c:f>'Monthly budget'!$C$10:$E$10</c:f>
              <c:numCache>
                <c:formatCode>_-[$$-409]* #,##0.00_ ;_-[$$-409]* \-#,##0.00\ ;_-[$$-409]* "-"??_ ;_-@_ 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06-48A8-B87B-C84A6A5DB8F6}"/>
            </c:ext>
          </c:extLst>
        </c:ser>
        <c:ser>
          <c:idx val="6"/>
          <c:order val="6"/>
          <c:tx>
            <c:strRef>
              <c:f>'Monthly budget'!$B$11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'Monthly budget'!$C$4:$E$4</c:f>
              <c:numCache>
                <c:formatCode>mmm/yyyy</c:formatCode>
                <c:ptCount val="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</c:numCache>
            </c:numRef>
          </c:cat>
          <c:val>
            <c:numRef>
              <c:f>'Monthly budget'!$C$11:$E$11</c:f>
              <c:numCache>
                <c:formatCode>_-[$$-409]* #,##0.00_ ;_-[$$-409]* \-#,##0.00\ ;_-[$$-409]* "-"??_ ;_-@_ 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7506-48A8-B87B-C84A6A5DB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5313696"/>
        <c:axId val="565314112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'Monthly budget'!$B$12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'Monthly budget'!$C$4:$E$4</c15:sqref>
                        </c15:formulaRef>
                      </c:ext>
                    </c:extLst>
                    <c:numCache>
                      <c:formatCode>mmm/yyyy</c:formatCode>
                      <c:ptCount val="3"/>
                      <c:pt idx="0">
                        <c:v>43466</c:v>
                      </c:pt>
                      <c:pt idx="1">
                        <c:v>43497</c:v>
                      </c:pt>
                      <c:pt idx="2">
                        <c:v>43525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'Monthly budget'!$C$12:$E$12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"/>
                      <c:pt idx="0">
                        <c:v>1675</c:v>
                      </c:pt>
                      <c:pt idx="1">
                        <c:v>1700</c:v>
                      </c:pt>
                      <c:pt idx="2">
                        <c:v>1750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7506-48A8-B87B-C84A6A5DB8F6}"/>
                  </c:ext>
                </c:extLst>
              </c15:ser>
            </c15:filteredBarSeries>
          </c:ext>
        </c:extLst>
      </c:barChart>
      <c:dateAx>
        <c:axId val="565313696"/>
        <c:scaling>
          <c:orientation val="minMax"/>
        </c:scaling>
        <c:delete val="0"/>
        <c:axPos val="b"/>
        <c:numFmt formatCode="mmm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314112"/>
        <c:crosses val="autoZero"/>
        <c:auto val="1"/>
        <c:lblOffset val="100"/>
        <c:baseTimeUnit val="months"/>
      </c:dateAx>
      <c:valAx>
        <c:axId val="56531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31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1"/>
          <c:tx>
            <c:strRef>
              <c:f>'Monthly budget-pie chart'!$C$5</c:f>
              <c:strCache>
                <c:ptCount val="1"/>
                <c:pt idx="0">
                  <c:v>Feb-2019</c:v>
                </c:pt>
              </c:strCache>
              <c:extLst xmlns:c15="http://schemas.microsoft.com/office/drawing/2012/chart"/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BE4-44CB-8449-14CD7009834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BE4-44CB-8449-14CD7009834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BE4-44CB-8449-14CD7009834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BE4-44CB-8449-14CD7009834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BE4-44CB-8449-14CD700983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'Monthly budget-pie chart'!$A$6:$A$11</c15:sqref>
                  </c15:fullRef>
                </c:ext>
              </c:extLst>
              <c:f>'Monthly budget-pie chart'!$A$7:$A$11</c:f>
              <c:strCache>
                <c:ptCount val="5"/>
                <c:pt idx="0">
                  <c:v>rent </c:v>
                </c:pt>
                <c:pt idx="1">
                  <c:v>phone</c:v>
                </c:pt>
                <c:pt idx="2">
                  <c:v>credit card</c:v>
                </c:pt>
                <c:pt idx="3">
                  <c:v>food </c:v>
                </c:pt>
                <c:pt idx="4">
                  <c:v>candy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'Monthly budget-pie chart'!$C$6:$C$11</c15:sqref>
                  </c15:fullRef>
                </c:ext>
              </c:extLst>
              <c:f>'Monthly budget-pie chart'!$C$7:$C$11</c:f>
              <c:numCache>
                <c:formatCode>_-[$$-409]* #,##0.00_ ;_-[$$-409]* \-#,##0.00\ ;_-[$$-409]* "-"??_ ;_-@_ </c:formatCode>
                <c:ptCount val="5"/>
              </c:numCache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BFAC-4B4C-91E0-A51B8F12D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'Monthly budget-pie chart'!$B$5</c15:sqref>
                        </c15:formulaRef>
                      </c:ext>
                    </c:extLst>
                    <c:strCache>
                      <c:ptCount val="1"/>
                      <c:pt idx="0">
                        <c:v>Jan-2019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BBE4-44CB-8449-14CD70098347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BBE4-44CB-8449-14CD70098347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BBE4-44CB-8449-14CD70098347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BBE4-44CB-8449-14CD70098347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BBE4-44CB-8449-14CD70098347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'Monthly budget-pie chart'!$A$6:$A$11</c15:sqref>
                        </c15:fullRef>
                        <c15:formulaRef>
                          <c15:sqref>'Monthly budget-pie chart'!$A$7:$A$11</c15:sqref>
                        </c15:formulaRef>
                      </c:ext>
                    </c:extLst>
                    <c:strCache>
                      <c:ptCount val="5"/>
                      <c:pt idx="0">
                        <c:v>rent </c:v>
                      </c:pt>
                      <c:pt idx="1">
                        <c:v>phone</c:v>
                      </c:pt>
                      <c:pt idx="2">
                        <c:v>credit card</c:v>
                      </c:pt>
                      <c:pt idx="3">
                        <c:v>food </c:v>
                      </c:pt>
                      <c:pt idx="4">
                        <c:v>candy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'Monthly budget-pie chart'!$B$6:$B$11</c15:sqref>
                        </c15:fullRef>
                        <c15:formulaRef>
                          <c15:sqref>'Monthly budget-pie chart'!$B$7:$B$11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5"/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0-BFAC-4B4C-91E0-A51B8F12D4B9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'Monthly budget-pie chart'!$D$5</c15:sqref>
                        </c15:formulaRef>
                      </c:ext>
                    </c:extLst>
                    <c:strCache>
                      <c:ptCount val="1"/>
                      <c:pt idx="0">
                        <c:v>Mar-2019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5-BBE4-44CB-8449-14CD70098347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BBE4-44CB-8449-14CD70098347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BBE4-44CB-8449-14CD70098347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BBE4-44CB-8449-14CD70098347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D-BBE4-44CB-8449-14CD70098347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'Monthly budget-pie chart'!$A$6:$A$11</c15:sqref>
                        </c15:fullRef>
                        <c15:formulaRef>
                          <c15:sqref>'Monthly budget-pie chart'!$A$7:$A$11</c15:sqref>
                        </c15:formulaRef>
                      </c:ext>
                    </c:extLst>
                    <c:strCache>
                      <c:ptCount val="5"/>
                      <c:pt idx="0">
                        <c:v>rent </c:v>
                      </c:pt>
                      <c:pt idx="1">
                        <c:v>phone</c:v>
                      </c:pt>
                      <c:pt idx="2">
                        <c:v>credit card</c:v>
                      </c:pt>
                      <c:pt idx="3">
                        <c:v>food </c:v>
                      </c:pt>
                      <c:pt idx="4">
                        <c:v>candy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'Monthly budget-pie chart'!$D$6:$D$11</c15:sqref>
                        </c15:fullRef>
                        <c15:formulaRef>
                          <c15:sqref>'Monthly budget-pie chart'!$D$7:$D$11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5"/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2-BFAC-4B4C-91E0-A51B8F12D4B9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D92910E3-8C4F-4B95-A7AD-7BD2FFF1D3AD}" type="doc">
      <dgm:prSet loTypeId="urn:microsoft.com/office/officeart/2005/8/layout/hProcess9" loCatId="process" qsTypeId="urn:microsoft.com/office/officeart/2005/8/quickstyle/simple1" qsCatId="simple" csTypeId="urn:microsoft.com/office/officeart/2005/8/colors/accent1_2" csCatId="accent1" phldr="1"/>
      <dgm:spPr/>
    </dgm:pt>
    <dgm:pt modelId="{177D1C9D-CCDA-4FF1-BCF8-370BB359E0B0}">
      <dgm:prSet phldrT="[Text]"/>
      <dgm:spPr/>
      <dgm:t>
        <a:bodyPr/>
        <a:lstStyle/>
        <a:p>
          <a:r>
            <a:rPr lang="en-US"/>
            <a:t>Make money</a:t>
          </a:r>
        </a:p>
      </dgm:t>
    </dgm:pt>
    <dgm:pt modelId="{EF544DEF-D4F2-45A0-93CB-5DFD746895B6}" type="parTrans" cxnId="{3FA4A14A-F453-41CC-AE93-934BBB789965}">
      <dgm:prSet/>
      <dgm:spPr/>
      <dgm:t>
        <a:bodyPr/>
        <a:lstStyle/>
        <a:p>
          <a:endParaRPr lang="en-US"/>
        </a:p>
      </dgm:t>
    </dgm:pt>
    <dgm:pt modelId="{E67EA7F3-669C-4FB6-9CA3-3A6CD85CD514}" type="sibTrans" cxnId="{3FA4A14A-F453-41CC-AE93-934BBB789965}">
      <dgm:prSet/>
      <dgm:spPr/>
      <dgm:t>
        <a:bodyPr/>
        <a:lstStyle/>
        <a:p>
          <a:endParaRPr lang="en-US"/>
        </a:p>
      </dgm:t>
    </dgm:pt>
    <dgm:pt modelId="{71102627-EEF7-44A9-B4AE-99CB38238F58}">
      <dgm:prSet phldrT="[Text]"/>
      <dgm:spPr/>
      <dgm:t>
        <a:bodyPr/>
        <a:lstStyle/>
        <a:p>
          <a:r>
            <a:rPr lang="en-US"/>
            <a:t>Spent money</a:t>
          </a:r>
        </a:p>
      </dgm:t>
    </dgm:pt>
    <dgm:pt modelId="{7A55AA6C-6379-4423-8AA2-D0B3F62CE449}" type="parTrans" cxnId="{2C3F6C24-4521-4F19-9ED2-48BA13A40CAC}">
      <dgm:prSet/>
      <dgm:spPr/>
      <dgm:t>
        <a:bodyPr/>
        <a:lstStyle/>
        <a:p>
          <a:endParaRPr lang="en-US"/>
        </a:p>
      </dgm:t>
    </dgm:pt>
    <dgm:pt modelId="{98082FC2-97D6-4837-A90C-900E57555EBC}" type="sibTrans" cxnId="{2C3F6C24-4521-4F19-9ED2-48BA13A40CAC}">
      <dgm:prSet/>
      <dgm:spPr/>
      <dgm:t>
        <a:bodyPr/>
        <a:lstStyle/>
        <a:p>
          <a:endParaRPr lang="en-US"/>
        </a:p>
      </dgm:t>
    </dgm:pt>
    <dgm:pt modelId="{B65FD3BF-785B-494C-99B1-9673C5E1BF26}">
      <dgm:prSet phldrT="[Text]"/>
      <dgm:spPr/>
      <dgm:t>
        <a:bodyPr/>
        <a:lstStyle/>
        <a:p>
          <a:r>
            <a:rPr lang="en-US"/>
            <a:t>Track money</a:t>
          </a:r>
        </a:p>
      </dgm:t>
    </dgm:pt>
    <dgm:pt modelId="{3AF12BC6-94BA-41AF-8E72-6683D6743F0D}" type="parTrans" cxnId="{417923FB-4EFB-458B-9CB0-F82BE9AC2E9E}">
      <dgm:prSet/>
      <dgm:spPr/>
      <dgm:t>
        <a:bodyPr/>
        <a:lstStyle/>
        <a:p>
          <a:endParaRPr lang="en-US"/>
        </a:p>
      </dgm:t>
    </dgm:pt>
    <dgm:pt modelId="{84392D46-6FC3-4889-BB1A-03858D5E129D}" type="sibTrans" cxnId="{417923FB-4EFB-458B-9CB0-F82BE9AC2E9E}">
      <dgm:prSet/>
      <dgm:spPr/>
      <dgm:t>
        <a:bodyPr/>
        <a:lstStyle/>
        <a:p>
          <a:endParaRPr lang="en-US"/>
        </a:p>
      </dgm:t>
    </dgm:pt>
    <dgm:pt modelId="{80CB97E6-9FCC-4CFC-AB59-623F7BB59B14}">
      <dgm:prSet phldrT="[Text]"/>
      <dgm:spPr/>
      <dgm:t>
        <a:bodyPr/>
        <a:lstStyle/>
        <a:p>
          <a:r>
            <a:rPr lang="en-US"/>
            <a:t>Work</a:t>
          </a:r>
        </a:p>
      </dgm:t>
    </dgm:pt>
    <dgm:pt modelId="{A87D0103-C9F3-4685-9296-0B6D09695BF2}" type="parTrans" cxnId="{5C264E3C-BF89-40B0-A81E-A88FB0F8DCA3}">
      <dgm:prSet/>
      <dgm:spPr/>
      <dgm:t>
        <a:bodyPr/>
        <a:lstStyle/>
        <a:p>
          <a:endParaRPr lang="en-US"/>
        </a:p>
      </dgm:t>
    </dgm:pt>
    <dgm:pt modelId="{0D667AFD-1DAB-4FC6-AD54-0249D33CB53B}" type="sibTrans" cxnId="{5C264E3C-BF89-40B0-A81E-A88FB0F8DCA3}">
      <dgm:prSet/>
      <dgm:spPr/>
      <dgm:t>
        <a:bodyPr/>
        <a:lstStyle/>
        <a:p>
          <a:endParaRPr lang="en-US"/>
        </a:p>
      </dgm:t>
    </dgm:pt>
    <dgm:pt modelId="{F720EF83-290B-419B-9B88-370BF538313B}">
      <dgm:prSet phldrT="[Text]"/>
      <dgm:spPr/>
      <dgm:t>
        <a:bodyPr/>
        <a:lstStyle/>
        <a:p>
          <a:r>
            <a:rPr lang="en-US"/>
            <a:t>Ask mom</a:t>
          </a:r>
        </a:p>
      </dgm:t>
    </dgm:pt>
    <dgm:pt modelId="{BFBC5BCD-E18D-48C2-8209-100B1705A2ED}" type="parTrans" cxnId="{F258F22C-1B22-4696-8013-8555CBAB5635}">
      <dgm:prSet/>
      <dgm:spPr/>
      <dgm:t>
        <a:bodyPr/>
        <a:lstStyle/>
        <a:p>
          <a:endParaRPr lang="en-US"/>
        </a:p>
      </dgm:t>
    </dgm:pt>
    <dgm:pt modelId="{D72477D7-E310-4A78-86F1-3FD1C02F08E8}" type="sibTrans" cxnId="{F258F22C-1B22-4696-8013-8555CBAB5635}">
      <dgm:prSet/>
      <dgm:spPr/>
      <dgm:t>
        <a:bodyPr/>
        <a:lstStyle/>
        <a:p>
          <a:endParaRPr lang="en-US"/>
        </a:p>
      </dgm:t>
    </dgm:pt>
    <dgm:pt modelId="{4DD04DCC-033C-404F-99FB-40CD28D1E982}">
      <dgm:prSet phldrT="[Text]"/>
      <dgm:spPr/>
      <dgm:t>
        <a:bodyPr/>
        <a:lstStyle/>
        <a:p>
          <a:r>
            <a:rPr lang="en-US"/>
            <a:t>Bills</a:t>
          </a:r>
        </a:p>
      </dgm:t>
    </dgm:pt>
    <dgm:pt modelId="{4233C996-21AD-42D5-B90A-F099137AC1EC}" type="parTrans" cxnId="{5FC28F2B-7647-4924-82E2-55F20D7FED28}">
      <dgm:prSet/>
      <dgm:spPr/>
      <dgm:t>
        <a:bodyPr/>
        <a:lstStyle/>
        <a:p>
          <a:endParaRPr lang="en-US"/>
        </a:p>
      </dgm:t>
    </dgm:pt>
    <dgm:pt modelId="{7481543B-1F6E-43D2-8084-F285F4986141}" type="sibTrans" cxnId="{5FC28F2B-7647-4924-82E2-55F20D7FED28}">
      <dgm:prSet/>
      <dgm:spPr/>
      <dgm:t>
        <a:bodyPr/>
        <a:lstStyle/>
        <a:p>
          <a:endParaRPr lang="en-US"/>
        </a:p>
      </dgm:t>
    </dgm:pt>
    <dgm:pt modelId="{FFA6911C-0FBC-4911-8464-6236930303B7}">
      <dgm:prSet phldrT="[Text]"/>
      <dgm:spPr/>
      <dgm:t>
        <a:bodyPr/>
        <a:lstStyle/>
        <a:p>
          <a:r>
            <a:rPr lang="en-US"/>
            <a:t>Play</a:t>
          </a:r>
        </a:p>
      </dgm:t>
    </dgm:pt>
    <dgm:pt modelId="{B4439403-28CA-4529-BFF5-CE2F1A5A2A68}" type="parTrans" cxnId="{0191703A-9A6F-4C3C-9FB3-1A5B2FABB3E4}">
      <dgm:prSet/>
      <dgm:spPr/>
      <dgm:t>
        <a:bodyPr/>
        <a:lstStyle/>
        <a:p>
          <a:endParaRPr lang="en-US"/>
        </a:p>
      </dgm:t>
    </dgm:pt>
    <dgm:pt modelId="{CE76B888-FC41-4C0A-8E21-A8E7294DEBE2}" type="sibTrans" cxnId="{0191703A-9A6F-4C3C-9FB3-1A5B2FABB3E4}">
      <dgm:prSet/>
      <dgm:spPr/>
      <dgm:t>
        <a:bodyPr/>
        <a:lstStyle/>
        <a:p>
          <a:endParaRPr lang="en-US"/>
        </a:p>
      </dgm:t>
    </dgm:pt>
    <dgm:pt modelId="{FD2FF276-7181-4986-BB8A-A703359A0EDC}" type="pres">
      <dgm:prSet presAssocID="{D92910E3-8C4F-4B95-A7AD-7BD2FFF1D3AD}" presName="CompostProcess" presStyleCnt="0">
        <dgm:presLayoutVars>
          <dgm:dir/>
          <dgm:resizeHandles val="exact"/>
        </dgm:presLayoutVars>
      </dgm:prSet>
      <dgm:spPr/>
    </dgm:pt>
    <dgm:pt modelId="{31436438-BA9C-4755-9FBD-345EBACD27B7}" type="pres">
      <dgm:prSet presAssocID="{D92910E3-8C4F-4B95-A7AD-7BD2FFF1D3AD}" presName="arrow" presStyleLbl="bgShp" presStyleIdx="0" presStyleCnt="1"/>
      <dgm:spPr/>
    </dgm:pt>
    <dgm:pt modelId="{5DB454C5-AF01-4F5D-922B-FC3F610313D2}" type="pres">
      <dgm:prSet presAssocID="{D92910E3-8C4F-4B95-A7AD-7BD2FFF1D3AD}" presName="linearProcess" presStyleCnt="0"/>
      <dgm:spPr/>
    </dgm:pt>
    <dgm:pt modelId="{B550A561-1C13-4F80-9114-B2E95E46DDF1}" type="pres">
      <dgm:prSet presAssocID="{177D1C9D-CCDA-4FF1-BCF8-370BB359E0B0}" presName="textNode" presStyleLbl="node1" presStyleIdx="0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AF50DC5-45AC-451F-A195-40841F47D946}" type="pres">
      <dgm:prSet presAssocID="{E67EA7F3-669C-4FB6-9CA3-3A6CD85CD514}" presName="sibTrans" presStyleCnt="0"/>
      <dgm:spPr/>
    </dgm:pt>
    <dgm:pt modelId="{8DA02DC6-85D4-4F65-A3BE-A706C5A2AC9C}" type="pres">
      <dgm:prSet presAssocID="{71102627-EEF7-44A9-B4AE-99CB38238F58}" presName="textNode" presStyleLbl="node1" presStyleIdx="1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E0F5EAB-E122-4B1D-82A5-580ACB79F9CF}" type="pres">
      <dgm:prSet presAssocID="{98082FC2-97D6-4837-A90C-900E57555EBC}" presName="sibTrans" presStyleCnt="0"/>
      <dgm:spPr/>
    </dgm:pt>
    <dgm:pt modelId="{D8AA55D4-AD0B-44AF-8259-3CFE4A308C02}" type="pres">
      <dgm:prSet presAssocID="{B65FD3BF-785B-494C-99B1-9673C5E1BF26}" presName="textNode" presStyleLbl="node1" presStyleIdx="2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41515210-10A3-4B30-9994-C6F06FAE277A}" type="presOf" srcId="{D92910E3-8C4F-4B95-A7AD-7BD2FFF1D3AD}" destId="{FD2FF276-7181-4986-BB8A-A703359A0EDC}" srcOrd="0" destOrd="0" presId="urn:microsoft.com/office/officeart/2005/8/layout/hProcess9"/>
    <dgm:cxn modelId="{D5667F2F-3085-4366-A509-5BE91DD2C132}" type="presOf" srcId="{F720EF83-290B-419B-9B88-370BF538313B}" destId="{B550A561-1C13-4F80-9114-B2E95E46DDF1}" srcOrd="0" destOrd="2" presId="urn:microsoft.com/office/officeart/2005/8/layout/hProcess9"/>
    <dgm:cxn modelId="{5C264E3C-BF89-40B0-A81E-A88FB0F8DCA3}" srcId="{177D1C9D-CCDA-4FF1-BCF8-370BB359E0B0}" destId="{80CB97E6-9FCC-4CFC-AB59-623F7BB59B14}" srcOrd="0" destOrd="0" parTransId="{A87D0103-C9F3-4685-9296-0B6D09695BF2}" sibTransId="{0D667AFD-1DAB-4FC6-AD54-0249D33CB53B}"/>
    <dgm:cxn modelId="{23406065-D61B-4AB3-87AE-466B9804550E}" type="presOf" srcId="{FFA6911C-0FBC-4911-8464-6236930303B7}" destId="{8DA02DC6-85D4-4F65-A3BE-A706C5A2AC9C}" srcOrd="0" destOrd="2" presId="urn:microsoft.com/office/officeart/2005/8/layout/hProcess9"/>
    <dgm:cxn modelId="{417923FB-4EFB-458B-9CB0-F82BE9AC2E9E}" srcId="{D92910E3-8C4F-4B95-A7AD-7BD2FFF1D3AD}" destId="{B65FD3BF-785B-494C-99B1-9673C5E1BF26}" srcOrd="2" destOrd="0" parTransId="{3AF12BC6-94BA-41AF-8E72-6683D6743F0D}" sibTransId="{84392D46-6FC3-4889-BB1A-03858D5E129D}"/>
    <dgm:cxn modelId="{0191703A-9A6F-4C3C-9FB3-1A5B2FABB3E4}" srcId="{71102627-EEF7-44A9-B4AE-99CB38238F58}" destId="{FFA6911C-0FBC-4911-8464-6236930303B7}" srcOrd="1" destOrd="0" parTransId="{B4439403-28CA-4529-BFF5-CE2F1A5A2A68}" sibTransId="{CE76B888-FC41-4C0A-8E21-A8E7294DEBE2}"/>
    <dgm:cxn modelId="{40D39B54-2452-4476-8B85-829B55D23957}" type="presOf" srcId="{4DD04DCC-033C-404F-99FB-40CD28D1E982}" destId="{8DA02DC6-85D4-4F65-A3BE-A706C5A2AC9C}" srcOrd="0" destOrd="1" presId="urn:microsoft.com/office/officeart/2005/8/layout/hProcess9"/>
    <dgm:cxn modelId="{5515275D-3337-4E86-BFAD-286E33A42662}" type="presOf" srcId="{80CB97E6-9FCC-4CFC-AB59-623F7BB59B14}" destId="{B550A561-1C13-4F80-9114-B2E95E46DDF1}" srcOrd="0" destOrd="1" presId="urn:microsoft.com/office/officeart/2005/8/layout/hProcess9"/>
    <dgm:cxn modelId="{2C3F6C24-4521-4F19-9ED2-48BA13A40CAC}" srcId="{D92910E3-8C4F-4B95-A7AD-7BD2FFF1D3AD}" destId="{71102627-EEF7-44A9-B4AE-99CB38238F58}" srcOrd="1" destOrd="0" parTransId="{7A55AA6C-6379-4423-8AA2-D0B3F62CE449}" sibTransId="{98082FC2-97D6-4837-A90C-900E57555EBC}"/>
    <dgm:cxn modelId="{5FC28F2B-7647-4924-82E2-55F20D7FED28}" srcId="{71102627-EEF7-44A9-B4AE-99CB38238F58}" destId="{4DD04DCC-033C-404F-99FB-40CD28D1E982}" srcOrd="0" destOrd="0" parTransId="{4233C996-21AD-42D5-B90A-F099137AC1EC}" sibTransId="{7481543B-1F6E-43D2-8084-F285F4986141}"/>
    <dgm:cxn modelId="{3FA4A14A-F453-41CC-AE93-934BBB789965}" srcId="{D92910E3-8C4F-4B95-A7AD-7BD2FFF1D3AD}" destId="{177D1C9D-CCDA-4FF1-BCF8-370BB359E0B0}" srcOrd="0" destOrd="0" parTransId="{EF544DEF-D4F2-45A0-93CB-5DFD746895B6}" sibTransId="{E67EA7F3-669C-4FB6-9CA3-3A6CD85CD514}"/>
    <dgm:cxn modelId="{13874909-A543-4408-B4FE-990EEEBE45C3}" type="presOf" srcId="{71102627-EEF7-44A9-B4AE-99CB38238F58}" destId="{8DA02DC6-85D4-4F65-A3BE-A706C5A2AC9C}" srcOrd="0" destOrd="0" presId="urn:microsoft.com/office/officeart/2005/8/layout/hProcess9"/>
    <dgm:cxn modelId="{3EC9FABA-39FA-4B59-9FD5-F497F237508D}" type="presOf" srcId="{177D1C9D-CCDA-4FF1-BCF8-370BB359E0B0}" destId="{B550A561-1C13-4F80-9114-B2E95E46DDF1}" srcOrd="0" destOrd="0" presId="urn:microsoft.com/office/officeart/2005/8/layout/hProcess9"/>
    <dgm:cxn modelId="{F258F22C-1B22-4696-8013-8555CBAB5635}" srcId="{177D1C9D-CCDA-4FF1-BCF8-370BB359E0B0}" destId="{F720EF83-290B-419B-9B88-370BF538313B}" srcOrd="1" destOrd="0" parTransId="{BFBC5BCD-E18D-48C2-8209-100B1705A2ED}" sibTransId="{D72477D7-E310-4A78-86F1-3FD1C02F08E8}"/>
    <dgm:cxn modelId="{A6DDB575-23EF-4E02-97BD-A9E19B45033E}" type="presOf" srcId="{B65FD3BF-785B-494C-99B1-9673C5E1BF26}" destId="{D8AA55D4-AD0B-44AF-8259-3CFE4A308C02}" srcOrd="0" destOrd="0" presId="urn:microsoft.com/office/officeart/2005/8/layout/hProcess9"/>
    <dgm:cxn modelId="{E78115BB-3DC7-4111-9A58-41D7F2034D3F}" type="presParOf" srcId="{FD2FF276-7181-4986-BB8A-A703359A0EDC}" destId="{31436438-BA9C-4755-9FBD-345EBACD27B7}" srcOrd="0" destOrd="0" presId="urn:microsoft.com/office/officeart/2005/8/layout/hProcess9"/>
    <dgm:cxn modelId="{E40F0BFA-7581-4EE7-88AC-7D3FBB57A745}" type="presParOf" srcId="{FD2FF276-7181-4986-BB8A-A703359A0EDC}" destId="{5DB454C5-AF01-4F5D-922B-FC3F610313D2}" srcOrd="1" destOrd="0" presId="urn:microsoft.com/office/officeart/2005/8/layout/hProcess9"/>
    <dgm:cxn modelId="{00CFACDF-988F-4AAE-8EB1-5D77DA329A61}" type="presParOf" srcId="{5DB454C5-AF01-4F5D-922B-FC3F610313D2}" destId="{B550A561-1C13-4F80-9114-B2E95E46DDF1}" srcOrd="0" destOrd="0" presId="urn:microsoft.com/office/officeart/2005/8/layout/hProcess9"/>
    <dgm:cxn modelId="{267875F2-FB2C-4865-9359-6FD6D9AB4B07}" type="presParOf" srcId="{5DB454C5-AF01-4F5D-922B-FC3F610313D2}" destId="{DAF50DC5-45AC-451F-A195-40841F47D946}" srcOrd="1" destOrd="0" presId="urn:microsoft.com/office/officeart/2005/8/layout/hProcess9"/>
    <dgm:cxn modelId="{42D02EC7-C140-4E4D-8247-B8D1EF5D6A31}" type="presParOf" srcId="{5DB454C5-AF01-4F5D-922B-FC3F610313D2}" destId="{8DA02DC6-85D4-4F65-A3BE-A706C5A2AC9C}" srcOrd="2" destOrd="0" presId="urn:microsoft.com/office/officeart/2005/8/layout/hProcess9"/>
    <dgm:cxn modelId="{624D813A-4090-4CAF-A1F4-4528B47206C1}" type="presParOf" srcId="{5DB454C5-AF01-4F5D-922B-FC3F610313D2}" destId="{FE0F5EAB-E122-4B1D-82A5-580ACB79F9CF}" srcOrd="3" destOrd="0" presId="urn:microsoft.com/office/officeart/2005/8/layout/hProcess9"/>
    <dgm:cxn modelId="{0D761940-0E3E-4118-92A9-64326F5DEFE2}" type="presParOf" srcId="{5DB454C5-AF01-4F5D-922B-FC3F610313D2}" destId="{D8AA55D4-AD0B-44AF-8259-3CFE4A308C02}" srcOrd="4" destOrd="0" presId="urn:microsoft.com/office/officeart/2005/8/layout/hProcess9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D92910E3-8C4F-4B95-A7AD-7BD2FFF1D3AD}" type="doc">
      <dgm:prSet loTypeId="urn:microsoft.com/office/officeart/2005/8/layout/hProcess9" loCatId="process" qsTypeId="urn:microsoft.com/office/officeart/2005/8/quickstyle/simple1" qsCatId="simple" csTypeId="urn:microsoft.com/office/officeart/2005/8/colors/accent1_2" csCatId="accent1" phldr="1"/>
      <dgm:spPr/>
    </dgm:pt>
    <dgm:pt modelId="{177D1C9D-CCDA-4FF1-BCF8-370BB359E0B0}">
      <dgm:prSet phldrT="[Text]"/>
      <dgm:spPr/>
      <dgm:t>
        <a:bodyPr/>
        <a:lstStyle/>
        <a:p>
          <a:r>
            <a:rPr lang="en-US"/>
            <a:t>Make money</a:t>
          </a:r>
        </a:p>
      </dgm:t>
    </dgm:pt>
    <dgm:pt modelId="{EF544DEF-D4F2-45A0-93CB-5DFD746895B6}" type="parTrans" cxnId="{3FA4A14A-F453-41CC-AE93-934BBB789965}">
      <dgm:prSet/>
      <dgm:spPr/>
      <dgm:t>
        <a:bodyPr/>
        <a:lstStyle/>
        <a:p>
          <a:endParaRPr lang="en-US"/>
        </a:p>
      </dgm:t>
    </dgm:pt>
    <dgm:pt modelId="{E67EA7F3-669C-4FB6-9CA3-3A6CD85CD514}" type="sibTrans" cxnId="{3FA4A14A-F453-41CC-AE93-934BBB789965}">
      <dgm:prSet/>
      <dgm:spPr/>
      <dgm:t>
        <a:bodyPr/>
        <a:lstStyle/>
        <a:p>
          <a:endParaRPr lang="en-US"/>
        </a:p>
      </dgm:t>
    </dgm:pt>
    <dgm:pt modelId="{71102627-EEF7-44A9-B4AE-99CB38238F58}">
      <dgm:prSet phldrT="[Text]"/>
      <dgm:spPr/>
      <dgm:t>
        <a:bodyPr/>
        <a:lstStyle/>
        <a:p>
          <a:r>
            <a:rPr lang="en-US"/>
            <a:t>Spent money</a:t>
          </a:r>
        </a:p>
      </dgm:t>
    </dgm:pt>
    <dgm:pt modelId="{7A55AA6C-6379-4423-8AA2-D0B3F62CE449}" type="parTrans" cxnId="{2C3F6C24-4521-4F19-9ED2-48BA13A40CAC}">
      <dgm:prSet/>
      <dgm:spPr/>
      <dgm:t>
        <a:bodyPr/>
        <a:lstStyle/>
        <a:p>
          <a:endParaRPr lang="en-US"/>
        </a:p>
      </dgm:t>
    </dgm:pt>
    <dgm:pt modelId="{98082FC2-97D6-4837-A90C-900E57555EBC}" type="sibTrans" cxnId="{2C3F6C24-4521-4F19-9ED2-48BA13A40CAC}">
      <dgm:prSet/>
      <dgm:spPr/>
      <dgm:t>
        <a:bodyPr/>
        <a:lstStyle/>
        <a:p>
          <a:endParaRPr lang="en-US"/>
        </a:p>
      </dgm:t>
    </dgm:pt>
    <dgm:pt modelId="{B65FD3BF-785B-494C-99B1-9673C5E1BF26}">
      <dgm:prSet phldrT="[Text]"/>
      <dgm:spPr/>
      <dgm:t>
        <a:bodyPr/>
        <a:lstStyle/>
        <a:p>
          <a:r>
            <a:rPr lang="en-US"/>
            <a:t>Track money</a:t>
          </a:r>
        </a:p>
      </dgm:t>
    </dgm:pt>
    <dgm:pt modelId="{3AF12BC6-94BA-41AF-8E72-6683D6743F0D}" type="parTrans" cxnId="{417923FB-4EFB-458B-9CB0-F82BE9AC2E9E}">
      <dgm:prSet/>
      <dgm:spPr/>
      <dgm:t>
        <a:bodyPr/>
        <a:lstStyle/>
        <a:p>
          <a:endParaRPr lang="en-US"/>
        </a:p>
      </dgm:t>
    </dgm:pt>
    <dgm:pt modelId="{84392D46-6FC3-4889-BB1A-03858D5E129D}" type="sibTrans" cxnId="{417923FB-4EFB-458B-9CB0-F82BE9AC2E9E}">
      <dgm:prSet/>
      <dgm:spPr/>
      <dgm:t>
        <a:bodyPr/>
        <a:lstStyle/>
        <a:p>
          <a:endParaRPr lang="en-US"/>
        </a:p>
      </dgm:t>
    </dgm:pt>
    <dgm:pt modelId="{80CB97E6-9FCC-4CFC-AB59-623F7BB59B14}">
      <dgm:prSet phldrT="[Text]"/>
      <dgm:spPr/>
      <dgm:t>
        <a:bodyPr/>
        <a:lstStyle/>
        <a:p>
          <a:r>
            <a:rPr lang="en-US"/>
            <a:t>Work</a:t>
          </a:r>
        </a:p>
      </dgm:t>
    </dgm:pt>
    <dgm:pt modelId="{A87D0103-C9F3-4685-9296-0B6D09695BF2}" type="parTrans" cxnId="{5C264E3C-BF89-40B0-A81E-A88FB0F8DCA3}">
      <dgm:prSet/>
      <dgm:spPr/>
      <dgm:t>
        <a:bodyPr/>
        <a:lstStyle/>
        <a:p>
          <a:endParaRPr lang="en-US"/>
        </a:p>
      </dgm:t>
    </dgm:pt>
    <dgm:pt modelId="{0D667AFD-1DAB-4FC6-AD54-0249D33CB53B}" type="sibTrans" cxnId="{5C264E3C-BF89-40B0-A81E-A88FB0F8DCA3}">
      <dgm:prSet/>
      <dgm:spPr/>
      <dgm:t>
        <a:bodyPr/>
        <a:lstStyle/>
        <a:p>
          <a:endParaRPr lang="en-US"/>
        </a:p>
      </dgm:t>
    </dgm:pt>
    <dgm:pt modelId="{F720EF83-290B-419B-9B88-370BF538313B}">
      <dgm:prSet phldrT="[Text]"/>
      <dgm:spPr/>
      <dgm:t>
        <a:bodyPr/>
        <a:lstStyle/>
        <a:p>
          <a:r>
            <a:rPr lang="en-US"/>
            <a:t>Ask mom</a:t>
          </a:r>
        </a:p>
      </dgm:t>
    </dgm:pt>
    <dgm:pt modelId="{BFBC5BCD-E18D-48C2-8209-100B1705A2ED}" type="parTrans" cxnId="{F258F22C-1B22-4696-8013-8555CBAB5635}">
      <dgm:prSet/>
      <dgm:spPr/>
      <dgm:t>
        <a:bodyPr/>
        <a:lstStyle/>
        <a:p>
          <a:endParaRPr lang="en-US"/>
        </a:p>
      </dgm:t>
    </dgm:pt>
    <dgm:pt modelId="{D72477D7-E310-4A78-86F1-3FD1C02F08E8}" type="sibTrans" cxnId="{F258F22C-1B22-4696-8013-8555CBAB5635}">
      <dgm:prSet/>
      <dgm:spPr/>
      <dgm:t>
        <a:bodyPr/>
        <a:lstStyle/>
        <a:p>
          <a:endParaRPr lang="en-US"/>
        </a:p>
      </dgm:t>
    </dgm:pt>
    <dgm:pt modelId="{4DD04DCC-033C-404F-99FB-40CD28D1E982}">
      <dgm:prSet phldrT="[Text]"/>
      <dgm:spPr/>
      <dgm:t>
        <a:bodyPr/>
        <a:lstStyle/>
        <a:p>
          <a:r>
            <a:rPr lang="en-US"/>
            <a:t>Bills</a:t>
          </a:r>
        </a:p>
      </dgm:t>
    </dgm:pt>
    <dgm:pt modelId="{4233C996-21AD-42D5-B90A-F099137AC1EC}" type="parTrans" cxnId="{5FC28F2B-7647-4924-82E2-55F20D7FED28}">
      <dgm:prSet/>
      <dgm:spPr/>
      <dgm:t>
        <a:bodyPr/>
        <a:lstStyle/>
        <a:p>
          <a:endParaRPr lang="en-US"/>
        </a:p>
      </dgm:t>
    </dgm:pt>
    <dgm:pt modelId="{7481543B-1F6E-43D2-8084-F285F4986141}" type="sibTrans" cxnId="{5FC28F2B-7647-4924-82E2-55F20D7FED28}">
      <dgm:prSet/>
      <dgm:spPr/>
      <dgm:t>
        <a:bodyPr/>
        <a:lstStyle/>
        <a:p>
          <a:endParaRPr lang="en-US"/>
        </a:p>
      </dgm:t>
    </dgm:pt>
    <dgm:pt modelId="{FFA6911C-0FBC-4911-8464-6236930303B7}">
      <dgm:prSet phldrT="[Text]"/>
      <dgm:spPr/>
      <dgm:t>
        <a:bodyPr/>
        <a:lstStyle/>
        <a:p>
          <a:r>
            <a:rPr lang="en-US"/>
            <a:t>Play</a:t>
          </a:r>
        </a:p>
      </dgm:t>
    </dgm:pt>
    <dgm:pt modelId="{B4439403-28CA-4529-BFF5-CE2F1A5A2A68}" type="parTrans" cxnId="{0191703A-9A6F-4C3C-9FB3-1A5B2FABB3E4}">
      <dgm:prSet/>
      <dgm:spPr/>
      <dgm:t>
        <a:bodyPr/>
        <a:lstStyle/>
        <a:p>
          <a:endParaRPr lang="en-US"/>
        </a:p>
      </dgm:t>
    </dgm:pt>
    <dgm:pt modelId="{CE76B888-FC41-4C0A-8E21-A8E7294DEBE2}" type="sibTrans" cxnId="{0191703A-9A6F-4C3C-9FB3-1A5B2FABB3E4}">
      <dgm:prSet/>
      <dgm:spPr/>
      <dgm:t>
        <a:bodyPr/>
        <a:lstStyle/>
        <a:p>
          <a:endParaRPr lang="en-US"/>
        </a:p>
      </dgm:t>
    </dgm:pt>
    <dgm:pt modelId="{FD2FF276-7181-4986-BB8A-A703359A0EDC}" type="pres">
      <dgm:prSet presAssocID="{D92910E3-8C4F-4B95-A7AD-7BD2FFF1D3AD}" presName="CompostProcess" presStyleCnt="0">
        <dgm:presLayoutVars>
          <dgm:dir/>
          <dgm:resizeHandles val="exact"/>
        </dgm:presLayoutVars>
      </dgm:prSet>
      <dgm:spPr/>
    </dgm:pt>
    <dgm:pt modelId="{31436438-BA9C-4755-9FBD-345EBACD27B7}" type="pres">
      <dgm:prSet presAssocID="{D92910E3-8C4F-4B95-A7AD-7BD2FFF1D3AD}" presName="arrow" presStyleLbl="bgShp" presStyleIdx="0" presStyleCnt="1" custLinFactNeighborX="-1058" custLinFactNeighborY="1533"/>
      <dgm:spPr/>
    </dgm:pt>
    <dgm:pt modelId="{5DB454C5-AF01-4F5D-922B-FC3F610313D2}" type="pres">
      <dgm:prSet presAssocID="{D92910E3-8C4F-4B95-A7AD-7BD2FFF1D3AD}" presName="linearProcess" presStyleCnt="0"/>
      <dgm:spPr/>
    </dgm:pt>
    <dgm:pt modelId="{B550A561-1C13-4F80-9114-B2E95E46DDF1}" type="pres">
      <dgm:prSet presAssocID="{177D1C9D-CCDA-4FF1-BCF8-370BB359E0B0}" presName="textNode" presStyleLbl="node1" presStyleIdx="0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AF50DC5-45AC-451F-A195-40841F47D946}" type="pres">
      <dgm:prSet presAssocID="{E67EA7F3-669C-4FB6-9CA3-3A6CD85CD514}" presName="sibTrans" presStyleCnt="0"/>
      <dgm:spPr/>
    </dgm:pt>
    <dgm:pt modelId="{8DA02DC6-85D4-4F65-A3BE-A706C5A2AC9C}" type="pres">
      <dgm:prSet presAssocID="{71102627-EEF7-44A9-B4AE-99CB38238F58}" presName="textNode" presStyleLbl="node1" presStyleIdx="1" presStyleCnt="3" custLinFactNeighborY="767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E0F5EAB-E122-4B1D-82A5-580ACB79F9CF}" type="pres">
      <dgm:prSet presAssocID="{98082FC2-97D6-4837-A90C-900E57555EBC}" presName="sibTrans" presStyleCnt="0"/>
      <dgm:spPr/>
    </dgm:pt>
    <dgm:pt modelId="{D8AA55D4-AD0B-44AF-8259-3CFE4A308C02}" type="pres">
      <dgm:prSet presAssocID="{B65FD3BF-785B-494C-99B1-9673C5E1BF26}" presName="textNode" presStyleLbl="node1" presStyleIdx="2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41515210-10A3-4B30-9994-C6F06FAE277A}" type="presOf" srcId="{D92910E3-8C4F-4B95-A7AD-7BD2FFF1D3AD}" destId="{FD2FF276-7181-4986-BB8A-A703359A0EDC}" srcOrd="0" destOrd="0" presId="urn:microsoft.com/office/officeart/2005/8/layout/hProcess9"/>
    <dgm:cxn modelId="{D5667F2F-3085-4366-A509-5BE91DD2C132}" type="presOf" srcId="{F720EF83-290B-419B-9B88-370BF538313B}" destId="{B550A561-1C13-4F80-9114-B2E95E46DDF1}" srcOrd="0" destOrd="2" presId="urn:microsoft.com/office/officeart/2005/8/layout/hProcess9"/>
    <dgm:cxn modelId="{5C264E3C-BF89-40B0-A81E-A88FB0F8DCA3}" srcId="{177D1C9D-CCDA-4FF1-BCF8-370BB359E0B0}" destId="{80CB97E6-9FCC-4CFC-AB59-623F7BB59B14}" srcOrd="0" destOrd="0" parTransId="{A87D0103-C9F3-4685-9296-0B6D09695BF2}" sibTransId="{0D667AFD-1DAB-4FC6-AD54-0249D33CB53B}"/>
    <dgm:cxn modelId="{23406065-D61B-4AB3-87AE-466B9804550E}" type="presOf" srcId="{FFA6911C-0FBC-4911-8464-6236930303B7}" destId="{8DA02DC6-85D4-4F65-A3BE-A706C5A2AC9C}" srcOrd="0" destOrd="2" presId="urn:microsoft.com/office/officeart/2005/8/layout/hProcess9"/>
    <dgm:cxn modelId="{417923FB-4EFB-458B-9CB0-F82BE9AC2E9E}" srcId="{D92910E3-8C4F-4B95-A7AD-7BD2FFF1D3AD}" destId="{B65FD3BF-785B-494C-99B1-9673C5E1BF26}" srcOrd="2" destOrd="0" parTransId="{3AF12BC6-94BA-41AF-8E72-6683D6743F0D}" sibTransId="{84392D46-6FC3-4889-BB1A-03858D5E129D}"/>
    <dgm:cxn modelId="{0191703A-9A6F-4C3C-9FB3-1A5B2FABB3E4}" srcId="{71102627-EEF7-44A9-B4AE-99CB38238F58}" destId="{FFA6911C-0FBC-4911-8464-6236930303B7}" srcOrd="1" destOrd="0" parTransId="{B4439403-28CA-4529-BFF5-CE2F1A5A2A68}" sibTransId="{CE76B888-FC41-4C0A-8E21-A8E7294DEBE2}"/>
    <dgm:cxn modelId="{40D39B54-2452-4476-8B85-829B55D23957}" type="presOf" srcId="{4DD04DCC-033C-404F-99FB-40CD28D1E982}" destId="{8DA02DC6-85D4-4F65-A3BE-A706C5A2AC9C}" srcOrd="0" destOrd="1" presId="urn:microsoft.com/office/officeart/2005/8/layout/hProcess9"/>
    <dgm:cxn modelId="{5515275D-3337-4E86-BFAD-286E33A42662}" type="presOf" srcId="{80CB97E6-9FCC-4CFC-AB59-623F7BB59B14}" destId="{B550A561-1C13-4F80-9114-B2E95E46DDF1}" srcOrd="0" destOrd="1" presId="urn:microsoft.com/office/officeart/2005/8/layout/hProcess9"/>
    <dgm:cxn modelId="{2C3F6C24-4521-4F19-9ED2-48BA13A40CAC}" srcId="{D92910E3-8C4F-4B95-A7AD-7BD2FFF1D3AD}" destId="{71102627-EEF7-44A9-B4AE-99CB38238F58}" srcOrd="1" destOrd="0" parTransId="{7A55AA6C-6379-4423-8AA2-D0B3F62CE449}" sibTransId="{98082FC2-97D6-4837-A90C-900E57555EBC}"/>
    <dgm:cxn modelId="{5FC28F2B-7647-4924-82E2-55F20D7FED28}" srcId="{71102627-EEF7-44A9-B4AE-99CB38238F58}" destId="{4DD04DCC-033C-404F-99FB-40CD28D1E982}" srcOrd="0" destOrd="0" parTransId="{4233C996-21AD-42D5-B90A-F099137AC1EC}" sibTransId="{7481543B-1F6E-43D2-8084-F285F4986141}"/>
    <dgm:cxn modelId="{3FA4A14A-F453-41CC-AE93-934BBB789965}" srcId="{D92910E3-8C4F-4B95-A7AD-7BD2FFF1D3AD}" destId="{177D1C9D-CCDA-4FF1-BCF8-370BB359E0B0}" srcOrd="0" destOrd="0" parTransId="{EF544DEF-D4F2-45A0-93CB-5DFD746895B6}" sibTransId="{E67EA7F3-669C-4FB6-9CA3-3A6CD85CD514}"/>
    <dgm:cxn modelId="{13874909-A543-4408-B4FE-990EEEBE45C3}" type="presOf" srcId="{71102627-EEF7-44A9-B4AE-99CB38238F58}" destId="{8DA02DC6-85D4-4F65-A3BE-A706C5A2AC9C}" srcOrd="0" destOrd="0" presId="urn:microsoft.com/office/officeart/2005/8/layout/hProcess9"/>
    <dgm:cxn modelId="{3EC9FABA-39FA-4B59-9FD5-F497F237508D}" type="presOf" srcId="{177D1C9D-CCDA-4FF1-BCF8-370BB359E0B0}" destId="{B550A561-1C13-4F80-9114-B2E95E46DDF1}" srcOrd="0" destOrd="0" presId="urn:microsoft.com/office/officeart/2005/8/layout/hProcess9"/>
    <dgm:cxn modelId="{F258F22C-1B22-4696-8013-8555CBAB5635}" srcId="{177D1C9D-CCDA-4FF1-BCF8-370BB359E0B0}" destId="{F720EF83-290B-419B-9B88-370BF538313B}" srcOrd="1" destOrd="0" parTransId="{BFBC5BCD-E18D-48C2-8209-100B1705A2ED}" sibTransId="{D72477D7-E310-4A78-86F1-3FD1C02F08E8}"/>
    <dgm:cxn modelId="{A6DDB575-23EF-4E02-97BD-A9E19B45033E}" type="presOf" srcId="{B65FD3BF-785B-494C-99B1-9673C5E1BF26}" destId="{D8AA55D4-AD0B-44AF-8259-3CFE4A308C02}" srcOrd="0" destOrd="0" presId="urn:microsoft.com/office/officeart/2005/8/layout/hProcess9"/>
    <dgm:cxn modelId="{E78115BB-3DC7-4111-9A58-41D7F2034D3F}" type="presParOf" srcId="{FD2FF276-7181-4986-BB8A-A703359A0EDC}" destId="{31436438-BA9C-4755-9FBD-345EBACD27B7}" srcOrd="0" destOrd="0" presId="urn:microsoft.com/office/officeart/2005/8/layout/hProcess9"/>
    <dgm:cxn modelId="{E40F0BFA-7581-4EE7-88AC-7D3FBB57A745}" type="presParOf" srcId="{FD2FF276-7181-4986-BB8A-A703359A0EDC}" destId="{5DB454C5-AF01-4F5D-922B-FC3F610313D2}" srcOrd="1" destOrd="0" presId="urn:microsoft.com/office/officeart/2005/8/layout/hProcess9"/>
    <dgm:cxn modelId="{00CFACDF-988F-4AAE-8EB1-5D77DA329A61}" type="presParOf" srcId="{5DB454C5-AF01-4F5D-922B-FC3F610313D2}" destId="{B550A561-1C13-4F80-9114-B2E95E46DDF1}" srcOrd="0" destOrd="0" presId="urn:microsoft.com/office/officeart/2005/8/layout/hProcess9"/>
    <dgm:cxn modelId="{267875F2-FB2C-4865-9359-6FD6D9AB4B07}" type="presParOf" srcId="{5DB454C5-AF01-4F5D-922B-FC3F610313D2}" destId="{DAF50DC5-45AC-451F-A195-40841F47D946}" srcOrd="1" destOrd="0" presId="urn:microsoft.com/office/officeart/2005/8/layout/hProcess9"/>
    <dgm:cxn modelId="{42D02EC7-C140-4E4D-8247-B8D1EF5D6A31}" type="presParOf" srcId="{5DB454C5-AF01-4F5D-922B-FC3F610313D2}" destId="{8DA02DC6-85D4-4F65-A3BE-A706C5A2AC9C}" srcOrd="2" destOrd="0" presId="urn:microsoft.com/office/officeart/2005/8/layout/hProcess9"/>
    <dgm:cxn modelId="{624D813A-4090-4CAF-A1F4-4528B47206C1}" type="presParOf" srcId="{5DB454C5-AF01-4F5D-922B-FC3F610313D2}" destId="{FE0F5EAB-E122-4B1D-82A5-580ACB79F9CF}" srcOrd="3" destOrd="0" presId="urn:microsoft.com/office/officeart/2005/8/layout/hProcess9"/>
    <dgm:cxn modelId="{0D761940-0E3E-4118-92A9-64326F5DEFE2}" type="presParOf" srcId="{5DB454C5-AF01-4F5D-922B-FC3F610313D2}" destId="{D8AA55D4-AD0B-44AF-8259-3CFE4A308C02}" srcOrd="4" destOrd="0" presId="urn:microsoft.com/office/officeart/2005/8/layout/hProcess9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31436438-BA9C-4755-9FBD-345EBACD27B7}">
      <dsp:nvSpPr>
        <dsp:cNvPr id="0" name=""/>
        <dsp:cNvSpPr/>
      </dsp:nvSpPr>
      <dsp:spPr>
        <a:xfrm>
          <a:off x="343535" y="0"/>
          <a:ext cx="3893396" cy="2761343"/>
        </a:xfrm>
        <a:prstGeom prst="rightArrow">
          <a:avLst/>
        </a:prstGeom>
        <a:solidFill>
          <a:schemeClr val="accent1">
            <a:tint val="4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B550A561-1C13-4F80-9114-B2E95E46DDF1}">
      <dsp:nvSpPr>
        <dsp:cNvPr id="0" name=""/>
        <dsp:cNvSpPr/>
      </dsp:nvSpPr>
      <dsp:spPr>
        <a:xfrm>
          <a:off x="4920" y="828402"/>
          <a:ext cx="1474337" cy="1104537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t" anchorCtr="0">
          <a:noAutofit/>
        </a:bodyPr>
        <a:lstStyle/>
        <a:p>
          <a:pPr lvl="0" algn="l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800" kern="1200"/>
            <a:t>Make money</a:t>
          </a:r>
        </a:p>
        <a:p>
          <a:pPr marL="114300" lvl="1" indent="-114300" algn="l" defTabSz="6223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400" kern="1200"/>
            <a:t>Work</a:t>
          </a:r>
        </a:p>
        <a:p>
          <a:pPr marL="114300" lvl="1" indent="-114300" algn="l" defTabSz="6223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400" kern="1200"/>
            <a:t>Ask mom</a:t>
          </a:r>
        </a:p>
      </dsp:txBody>
      <dsp:txXfrm>
        <a:off x="58839" y="882321"/>
        <a:ext cx="1366499" cy="996699"/>
      </dsp:txXfrm>
    </dsp:sp>
    <dsp:sp modelId="{8DA02DC6-85D4-4F65-A3BE-A706C5A2AC9C}">
      <dsp:nvSpPr>
        <dsp:cNvPr id="0" name=""/>
        <dsp:cNvSpPr/>
      </dsp:nvSpPr>
      <dsp:spPr>
        <a:xfrm>
          <a:off x="1553064" y="828402"/>
          <a:ext cx="1474337" cy="1104537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t" anchorCtr="0">
          <a:noAutofit/>
        </a:bodyPr>
        <a:lstStyle/>
        <a:p>
          <a:pPr lvl="0" algn="l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800" kern="1200"/>
            <a:t>Spent money</a:t>
          </a:r>
        </a:p>
        <a:p>
          <a:pPr marL="114300" lvl="1" indent="-114300" algn="l" defTabSz="6223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400" kern="1200"/>
            <a:t>Bills</a:t>
          </a:r>
        </a:p>
        <a:p>
          <a:pPr marL="114300" lvl="1" indent="-114300" algn="l" defTabSz="6223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400" kern="1200"/>
            <a:t>Play</a:t>
          </a:r>
        </a:p>
      </dsp:txBody>
      <dsp:txXfrm>
        <a:off x="1606983" y="882321"/>
        <a:ext cx="1366499" cy="996699"/>
      </dsp:txXfrm>
    </dsp:sp>
    <dsp:sp modelId="{D8AA55D4-AD0B-44AF-8259-3CFE4A308C02}">
      <dsp:nvSpPr>
        <dsp:cNvPr id="0" name=""/>
        <dsp:cNvSpPr/>
      </dsp:nvSpPr>
      <dsp:spPr>
        <a:xfrm>
          <a:off x="3101208" y="828402"/>
          <a:ext cx="1474337" cy="1104537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800" kern="1200"/>
            <a:t>Track money</a:t>
          </a:r>
        </a:p>
      </dsp:txBody>
      <dsp:txXfrm>
        <a:off x="3155127" y="882321"/>
        <a:ext cx="1366499" cy="996699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31436438-BA9C-4755-9FBD-345EBACD27B7}">
      <dsp:nvSpPr>
        <dsp:cNvPr id="0" name=""/>
        <dsp:cNvSpPr/>
      </dsp:nvSpPr>
      <dsp:spPr>
        <a:xfrm>
          <a:off x="248468" y="0"/>
          <a:ext cx="3199638" cy="2710543"/>
        </a:xfrm>
        <a:prstGeom prst="rightArrow">
          <a:avLst/>
        </a:prstGeom>
        <a:solidFill>
          <a:schemeClr val="accent1">
            <a:tint val="4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B550A561-1C13-4F80-9114-B2E95E46DDF1}">
      <dsp:nvSpPr>
        <dsp:cNvPr id="0" name=""/>
        <dsp:cNvSpPr/>
      </dsp:nvSpPr>
      <dsp:spPr>
        <a:xfrm>
          <a:off x="127559" y="813162"/>
          <a:ext cx="1129284" cy="1084217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0" tIns="57150" rIns="57150" bIns="57150" numCol="1" spcCol="1270" anchor="t" anchorCtr="0">
          <a:noAutofit/>
        </a:bodyPr>
        <a:lstStyle/>
        <a:p>
          <a:pPr lvl="0" algn="l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500" kern="1200"/>
            <a:t>Make money</a:t>
          </a:r>
        </a:p>
        <a:p>
          <a:pPr marL="114300" lvl="1" indent="-114300" algn="l" defTabSz="5334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200" kern="1200"/>
            <a:t>Work</a:t>
          </a:r>
        </a:p>
        <a:p>
          <a:pPr marL="114300" lvl="1" indent="-114300" algn="l" defTabSz="5334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200" kern="1200"/>
            <a:t>Ask mom</a:t>
          </a:r>
        </a:p>
      </dsp:txBody>
      <dsp:txXfrm>
        <a:off x="180486" y="866089"/>
        <a:ext cx="1023430" cy="978363"/>
      </dsp:txXfrm>
    </dsp:sp>
    <dsp:sp modelId="{8DA02DC6-85D4-4F65-A3BE-A706C5A2AC9C}">
      <dsp:nvSpPr>
        <dsp:cNvPr id="0" name=""/>
        <dsp:cNvSpPr/>
      </dsp:nvSpPr>
      <dsp:spPr>
        <a:xfrm>
          <a:off x="1317498" y="821478"/>
          <a:ext cx="1129284" cy="1084217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0" tIns="57150" rIns="57150" bIns="57150" numCol="1" spcCol="1270" anchor="t" anchorCtr="0">
          <a:noAutofit/>
        </a:bodyPr>
        <a:lstStyle/>
        <a:p>
          <a:pPr lvl="0" algn="l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500" kern="1200"/>
            <a:t>Spent money</a:t>
          </a:r>
        </a:p>
        <a:p>
          <a:pPr marL="114300" lvl="1" indent="-114300" algn="l" defTabSz="5334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200" kern="1200"/>
            <a:t>Bills</a:t>
          </a:r>
        </a:p>
        <a:p>
          <a:pPr marL="114300" lvl="1" indent="-114300" algn="l" defTabSz="5334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200" kern="1200"/>
            <a:t>Play</a:t>
          </a:r>
        </a:p>
      </dsp:txBody>
      <dsp:txXfrm>
        <a:off x="1370425" y="874405"/>
        <a:ext cx="1023430" cy="978363"/>
      </dsp:txXfrm>
    </dsp:sp>
    <dsp:sp modelId="{D8AA55D4-AD0B-44AF-8259-3CFE4A308C02}">
      <dsp:nvSpPr>
        <dsp:cNvPr id="0" name=""/>
        <dsp:cNvSpPr/>
      </dsp:nvSpPr>
      <dsp:spPr>
        <a:xfrm>
          <a:off x="2507436" y="813162"/>
          <a:ext cx="1129284" cy="1084217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0" tIns="57150" rIns="57150" bIns="5715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500" kern="1200"/>
            <a:t>Track money</a:t>
          </a:r>
        </a:p>
      </dsp:txBody>
      <dsp:txXfrm>
        <a:off x="2560363" y="866089"/>
        <a:ext cx="1023430" cy="97836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Process9">
  <dgm:title val=""/>
  <dgm:desc val=""/>
  <dgm:catLst>
    <dgm:cat type="process" pri="5000"/>
    <dgm:cat type="convert" pri="13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CompostProcess">
    <dgm:varLst>
      <dgm:dir/>
      <dgm:resizeHandles val="exact"/>
    </dgm:varLst>
    <dgm:alg type="composite">
      <dgm:param type="horzAlign" val="ctr"/>
      <dgm:param type="vertAlign" val="mid"/>
    </dgm:alg>
    <dgm:shape xmlns:r="http://schemas.openxmlformats.org/officeDocument/2006/relationships" r:blip="">
      <dgm:adjLst/>
    </dgm:shape>
    <dgm:presOf/>
    <dgm:constrLst>
      <dgm:constr type="w" for="ch" forName="arrow" refType="w" fact="0.85"/>
      <dgm:constr type="h" for="ch" forName="arrow" refType="h"/>
      <dgm:constr type="ctrX" for="ch" forName="arrow" refType="w" fact="0.5"/>
      <dgm:constr type="ctrY" for="ch" forName="arrow" refType="h" fact="0.5"/>
      <dgm:constr type="w" for="ch" forName="linearProcess" refType="w"/>
      <dgm:constr type="h" for="ch" forName="linearProcess" refType="h" fact="0.4"/>
      <dgm:constr type="ctrX" for="ch" forName="linearProcess" refType="w" fact="0.5"/>
      <dgm:constr type="ctrY" for="ch" forName="linearProcess" refType="h" fact="0.5"/>
    </dgm:constrLst>
    <dgm:ruleLst/>
    <dgm:layoutNode name="arrow" styleLbl="bgShp">
      <dgm:alg type="sp"/>
      <dgm:choose name="Name0">
        <dgm:if name="Name1" func="var" arg="dir" op="equ" val="norm">
          <dgm:shape xmlns:r="http://schemas.openxmlformats.org/officeDocument/2006/relationships" type="rightArrow" r:blip="">
            <dgm:adjLst/>
          </dgm:shape>
        </dgm:if>
        <dgm:else name="Name2">
          <dgm:shape xmlns:r="http://schemas.openxmlformats.org/officeDocument/2006/relationships" type="leftArrow" r:blip="">
            <dgm:adjLst/>
          </dgm:shape>
        </dgm:else>
      </dgm:choose>
      <dgm:presOf/>
      <dgm:constrLst/>
      <dgm:ruleLst/>
    </dgm:layoutNode>
    <dgm:layoutNode name="linearProcess">
      <dgm:choose name="Name3">
        <dgm:if name="Name4" func="var" arg="dir" op="equ" val="norm">
          <dgm:alg type="lin"/>
        </dgm:if>
        <dgm:else name="Name5">
          <dgm:alg type="lin">
            <dgm:param type="linDir" val="fromR"/>
          </dgm:alg>
        </dgm:else>
      </dgm:choose>
      <dgm:shape xmlns:r="http://schemas.openxmlformats.org/officeDocument/2006/relationships" r:blip="">
        <dgm:adjLst/>
      </dgm:shape>
      <dgm:presOf/>
      <dgm:constrLst>
        <dgm:constr type="userA" for="ch" ptType="node" refType="w"/>
        <dgm:constr type="h" for="ch" ptType="node" refType="h"/>
        <dgm:constr type="w" for="ch" ptType="node" op="equ"/>
        <dgm:constr type="w" for="ch" forName="sibTrans" refType="w" fact="0.05"/>
        <dgm:constr type="primFontSz" for="ch" ptType="node" op="equ" val="65"/>
      </dgm:constrLst>
      <dgm:ruleLst/>
      <dgm:forEach name="Name6" axis="ch" ptType="node">
        <dgm:layoutNode name="textNode" styleLbl="node1">
          <dgm:varLst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desOrSelf" ptType="node"/>
          <dgm:constrLst>
            <dgm:constr type="userA"/>
            <dgm:constr type="w" refType="userA" fact="0.3"/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w" val="NaN" fact="1" max="NaN"/>
            <dgm:rule type="primFontSz" val="5" fact="NaN" max="NaN"/>
          </dgm:ruleLst>
        </dgm:layoutNode>
        <dgm:forEach name="Name7" axis="followSib" ptType="sibTrans" cnt="1">
          <dgm:layoutNode name="sibTrans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forEach>
      </dgm:forEach>
    </dgm:layoutNode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hProcess9">
  <dgm:title val=""/>
  <dgm:desc val=""/>
  <dgm:catLst>
    <dgm:cat type="process" pri="5000"/>
    <dgm:cat type="convert" pri="13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CompostProcess">
    <dgm:varLst>
      <dgm:dir/>
      <dgm:resizeHandles val="exact"/>
    </dgm:varLst>
    <dgm:alg type="composite">
      <dgm:param type="horzAlign" val="ctr"/>
      <dgm:param type="vertAlign" val="mid"/>
    </dgm:alg>
    <dgm:shape xmlns:r="http://schemas.openxmlformats.org/officeDocument/2006/relationships" r:blip="">
      <dgm:adjLst/>
    </dgm:shape>
    <dgm:presOf/>
    <dgm:constrLst>
      <dgm:constr type="w" for="ch" forName="arrow" refType="w" fact="0.85"/>
      <dgm:constr type="h" for="ch" forName="arrow" refType="h"/>
      <dgm:constr type="ctrX" for="ch" forName="arrow" refType="w" fact="0.5"/>
      <dgm:constr type="ctrY" for="ch" forName="arrow" refType="h" fact="0.5"/>
      <dgm:constr type="w" for="ch" forName="linearProcess" refType="w"/>
      <dgm:constr type="h" for="ch" forName="linearProcess" refType="h" fact="0.4"/>
      <dgm:constr type="ctrX" for="ch" forName="linearProcess" refType="w" fact="0.5"/>
      <dgm:constr type="ctrY" for="ch" forName="linearProcess" refType="h" fact="0.5"/>
    </dgm:constrLst>
    <dgm:ruleLst/>
    <dgm:layoutNode name="arrow" styleLbl="bgShp">
      <dgm:alg type="sp"/>
      <dgm:choose name="Name0">
        <dgm:if name="Name1" func="var" arg="dir" op="equ" val="norm">
          <dgm:shape xmlns:r="http://schemas.openxmlformats.org/officeDocument/2006/relationships" type="rightArrow" r:blip="">
            <dgm:adjLst/>
          </dgm:shape>
        </dgm:if>
        <dgm:else name="Name2">
          <dgm:shape xmlns:r="http://schemas.openxmlformats.org/officeDocument/2006/relationships" type="leftArrow" r:blip="">
            <dgm:adjLst/>
          </dgm:shape>
        </dgm:else>
      </dgm:choose>
      <dgm:presOf/>
      <dgm:constrLst/>
      <dgm:ruleLst/>
    </dgm:layoutNode>
    <dgm:layoutNode name="linearProcess">
      <dgm:choose name="Name3">
        <dgm:if name="Name4" func="var" arg="dir" op="equ" val="norm">
          <dgm:alg type="lin"/>
        </dgm:if>
        <dgm:else name="Name5">
          <dgm:alg type="lin">
            <dgm:param type="linDir" val="fromR"/>
          </dgm:alg>
        </dgm:else>
      </dgm:choose>
      <dgm:shape xmlns:r="http://schemas.openxmlformats.org/officeDocument/2006/relationships" r:blip="">
        <dgm:adjLst/>
      </dgm:shape>
      <dgm:presOf/>
      <dgm:constrLst>
        <dgm:constr type="userA" for="ch" ptType="node" refType="w"/>
        <dgm:constr type="h" for="ch" ptType="node" refType="h"/>
        <dgm:constr type="w" for="ch" ptType="node" op="equ"/>
        <dgm:constr type="w" for="ch" forName="sibTrans" refType="w" fact="0.05"/>
        <dgm:constr type="primFontSz" for="ch" ptType="node" op="equ" val="65"/>
      </dgm:constrLst>
      <dgm:ruleLst/>
      <dgm:forEach name="Name6" axis="ch" ptType="node">
        <dgm:layoutNode name="textNode" styleLbl="node1">
          <dgm:varLst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desOrSelf" ptType="node"/>
          <dgm:constrLst>
            <dgm:constr type="userA"/>
            <dgm:constr type="w" refType="userA" fact="0.3"/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w" val="NaN" fact="1" max="NaN"/>
            <dgm:rule type="primFontSz" val="5" fact="NaN" max="NaN"/>
          </dgm:ruleLst>
        </dgm:layoutNode>
        <dgm:forEach name="Name7" axis="followSib" ptType="sibTrans" cnt="1">
          <dgm:layoutNode name="sibTrans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forEach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1.xml"/><Relationship Id="rId7" Type="http://schemas.openxmlformats.org/officeDocument/2006/relationships/chart" Target="../charts/chart1.xml"/><Relationship Id="rId2" Type="http://schemas.openxmlformats.org/officeDocument/2006/relationships/diagramData" Target="../diagrams/data1.xml"/><Relationship Id="rId1" Type="http://schemas.openxmlformats.org/officeDocument/2006/relationships/image" Target="../media/image1.jpeg"/><Relationship Id="rId6" Type="http://schemas.microsoft.com/office/2007/relationships/diagramDrawing" Target="../diagrams/drawing1.xml"/><Relationship Id="rId5" Type="http://schemas.openxmlformats.org/officeDocument/2006/relationships/diagramColors" Target="../diagrams/colors1.xml"/><Relationship Id="rId4" Type="http://schemas.openxmlformats.org/officeDocument/2006/relationships/diagramQuickStyle" Target="../diagrams/quickStyl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2.xml"/><Relationship Id="rId7" Type="http://schemas.openxmlformats.org/officeDocument/2006/relationships/chart" Target="../charts/chart2.xml"/><Relationship Id="rId2" Type="http://schemas.openxmlformats.org/officeDocument/2006/relationships/diagramData" Target="../diagrams/data2.xml"/><Relationship Id="rId1" Type="http://schemas.openxmlformats.org/officeDocument/2006/relationships/image" Target="../media/image1.jpeg"/><Relationship Id="rId6" Type="http://schemas.microsoft.com/office/2007/relationships/diagramDrawing" Target="../diagrams/drawing2.xml"/><Relationship Id="rId5" Type="http://schemas.openxmlformats.org/officeDocument/2006/relationships/diagramColors" Target="../diagrams/colors2.xml"/><Relationship Id="rId4" Type="http://schemas.openxmlformats.org/officeDocument/2006/relationships/diagramQuickStyle" Target="../diagrams/quickStyle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5443</xdr:colOff>
      <xdr:row>1</xdr:row>
      <xdr:rowOff>10886</xdr:rowOff>
    </xdr:from>
    <xdr:to>
      <xdr:col>2</xdr:col>
      <xdr:colOff>593272</xdr:colOff>
      <xdr:row>2</xdr:row>
      <xdr:rowOff>10886</xdr:rowOff>
    </xdr:to>
    <xdr:pic>
      <xdr:nvPicPr>
        <xdr:cNvPr id="2" name="Picture 1" descr="ALABAMA CONFIDENTIAL: Influence, Inc.--Alabama 2011 PAC List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143" y="195943"/>
          <a:ext cx="587829" cy="375557"/>
        </a:xfrm>
        <a:prstGeom prst="rect">
          <a:avLst/>
        </a:prstGeom>
      </xdr:spPr>
    </xdr:pic>
    <xdr:clientData/>
  </xdr:twoCellAnchor>
  <xdr:twoCellAnchor>
    <xdr:from>
      <xdr:col>8</xdr:col>
      <xdr:colOff>81642</xdr:colOff>
      <xdr:row>5</xdr:row>
      <xdr:rowOff>32658</xdr:rowOff>
    </xdr:from>
    <xdr:to>
      <xdr:col>8</xdr:col>
      <xdr:colOff>495299</xdr:colOff>
      <xdr:row>6</xdr:row>
      <xdr:rowOff>32658</xdr:rowOff>
    </xdr:to>
    <xdr:sp macro="" textlink="">
      <xdr:nvSpPr>
        <xdr:cNvPr id="3" name="Left Arrow 2"/>
        <xdr:cNvSpPr/>
      </xdr:nvSpPr>
      <xdr:spPr>
        <a:xfrm>
          <a:off x="6422571" y="1202872"/>
          <a:ext cx="413657" cy="185057"/>
        </a:xfrm>
        <a:prstGeom prst="leftArrow">
          <a:avLst>
            <a:gd name="adj1" fmla="val 26471"/>
            <a:gd name="adj2" fmla="val 50000"/>
          </a:avLst>
        </a:prstGeom>
        <a:ln>
          <a:solidFill>
            <a:schemeClr val="tx1"/>
          </a:solidFill>
        </a:ln>
        <a:scene3d>
          <a:camera prst="isometricOffAxis1Righ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631371</xdr:colOff>
      <xdr:row>1</xdr:row>
      <xdr:rowOff>43543</xdr:rowOff>
    </xdr:from>
    <xdr:to>
      <xdr:col>7</xdr:col>
      <xdr:colOff>201385</xdr:colOff>
      <xdr:row>1</xdr:row>
      <xdr:rowOff>326572</xdr:rowOff>
    </xdr:to>
    <xdr:sp macro="" textlink="">
      <xdr:nvSpPr>
        <xdr:cNvPr id="4" name="Smiley Face 3"/>
        <xdr:cNvSpPr/>
      </xdr:nvSpPr>
      <xdr:spPr>
        <a:xfrm>
          <a:off x="5660571" y="228600"/>
          <a:ext cx="272143" cy="283029"/>
        </a:xfrm>
        <a:prstGeom prst="smileyFace">
          <a:avLst/>
        </a:prstGeom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157843</xdr:colOff>
      <xdr:row>18</xdr:row>
      <xdr:rowOff>89808</xdr:rowOff>
    </xdr:from>
    <xdr:to>
      <xdr:col>6</xdr:col>
      <xdr:colOff>310243</xdr:colOff>
      <xdr:row>33</xdr:row>
      <xdr:rowOff>57151</xdr:rowOff>
    </xdr:to>
    <xdr:graphicFrame macro="">
      <xdr:nvGraphicFramePr>
        <xdr:cNvPr id="5" name="Diagram 4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>
    <xdr:from>
      <xdr:col>9</xdr:col>
      <xdr:colOff>123371</xdr:colOff>
      <xdr:row>1</xdr:row>
      <xdr:rowOff>199269</xdr:rowOff>
    </xdr:from>
    <xdr:to>
      <xdr:col>16</xdr:col>
      <xdr:colOff>436638</xdr:colOff>
      <xdr:row>15</xdr:row>
      <xdr:rowOff>107346</xdr:rowOff>
    </xdr:to>
    <xdr:graphicFrame macro="">
      <xdr:nvGraphicFramePr>
        <xdr:cNvPr id="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488042</xdr:colOff>
      <xdr:row>2</xdr:row>
      <xdr:rowOff>10886</xdr:rowOff>
    </xdr:from>
    <xdr:to>
      <xdr:col>1</xdr:col>
      <xdr:colOff>466271</xdr:colOff>
      <xdr:row>3</xdr:row>
      <xdr:rowOff>10885</xdr:rowOff>
    </xdr:to>
    <xdr:pic>
      <xdr:nvPicPr>
        <xdr:cNvPr id="2" name="Picture 1" descr="ALABAMA CONFIDENTIAL: Influence, Inc.--Alabama 2011 PAC List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7642" y="197153"/>
          <a:ext cx="587829" cy="372533"/>
        </a:xfrm>
        <a:prstGeom prst="rect">
          <a:avLst/>
        </a:prstGeom>
      </xdr:spPr>
    </xdr:pic>
    <xdr:clientData/>
  </xdr:twoCellAnchor>
  <xdr:twoCellAnchor>
    <xdr:from>
      <xdr:col>4</xdr:col>
      <xdr:colOff>631371</xdr:colOff>
      <xdr:row>2</xdr:row>
      <xdr:rowOff>43543</xdr:rowOff>
    </xdr:from>
    <xdr:to>
      <xdr:col>5</xdr:col>
      <xdr:colOff>201385</xdr:colOff>
      <xdr:row>2</xdr:row>
      <xdr:rowOff>326572</xdr:rowOff>
    </xdr:to>
    <xdr:sp macro="" textlink="">
      <xdr:nvSpPr>
        <xdr:cNvPr id="4" name="Smiley Face 3"/>
        <xdr:cNvSpPr/>
      </xdr:nvSpPr>
      <xdr:spPr>
        <a:xfrm>
          <a:off x="5660571" y="226423"/>
          <a:ext cx="271054" cy="283029"/>
        </a:xfrm>
        <a:prstGeom prst="smileyFace">
          <a:avLst/>
        </a:prstGeom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386443</xdr:colOff>
      <xdr:row>49</xdr:row>
      <xdr:rowOff>132141</xdr:rowOff>
    </xdr:from>
    <xdr:to>
      <xdr:col>5</xdr:col>
      <xdr:colOff>538843</xdr:colOff>
      <xdr:row>64</xdr:row>
      <xdr:rowOff>99484</xdr:rowOff>
    </xdr:to>
    <xdr:graphicFrame macro="">
      <xdr:nvGraphicFramePr>
        <xdr:cNvPr id="5" name="Diagram 4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>
    <xdr:from>
      <xdr:col>7</xdr:col>
      <xdr:colOff>486449</xdr:colOff>
      <xdr:row>1</xdr:row>
      <xdr:rowOff>20704</xdr:rowOff>
    </xdr:from>
    <xdr:to>
      <xdr:col>15</xdr:col>
      <xdr:colOff>181649</xdr:colOff>
      <xdr:row>14</xdr:row>
      <xdr:rowOff>121226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76200</xdr:colOff>
      <xdr:row>5</xdr:row>
      <xdr:rowOff>160866</xdr:rowOff>
    </xdr:from>
    <xdr:to>
      <xdr:col>6</xdr:col>
      <xdr:colOff>592667</xdr:colOff>
      <xdr:row>7</xdr:row>
      <xdr:rowOff>25399</xdr:rowOff>
    </xdr:to>
    <xdr:sp macro="" textlink="">
      <xdr:nvSpPr>
        <xdr:cNvPr id="6" name="Left Arrow 5"/>
        <xdr:cNvSpPr/>
      </xdr:nvSpPr>
      <xdr:spPr>
        <a:xfrm>
          <a:off x="5054600" y="1329266"/>
          <a:ext cx="516467" cy="245533"/>
        </a:xfrm>
        <a:prstGeom prst="leftArrow">
          <a:avLst/>
        </a:prstGeom>
        <a:solidFill>
          <a:srgbClr val="FFFF00"/>
        </a:solidFill>
        <a:ln>
          <a:solidFill>
            <a:schemeClr val="tx1"/>
          </a:solidFill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7"/>
  <sheetViews>
    <sheetView zoomScale="90" zoomScaleNormal="90" workbookViewId="0">
      <selection activeCell="L22" sqref="L22"/>
    </sheetView>
  </sheetViews>
  <sheetFormatPr defaultRowHeight="14.4" x14ac:dyDescent="0.3"/>
  <cols>
    <col min="2" max="2" width="11.6640625" customWidth="1"/>
    <col min="3" max="3" width="15.33203125" customWidth="1"/>
    <col min="4" max="4" width="14.6640625" customWidth="1"/>
    <col min="5" max="5" width="12.44140625" bestFit="1" customWidth="1"/>
    <col min="6" max="6" width="10.33203125" customWidth="1"/>
    <col min="7" max="7" width="10.21875" customWidth="1"/>
  </cols>
  <sheetData>
    <row r="2" spans="2:8" ht="29.4" thickBot="1" x14ac:dyDescent="0.6">
      <c r="B2" s="8" t="s">
        <v>12</v>
      </c>
      <c r="C2" s="8"/>
      <c r="D2" s="8"/>
      <c r="E2" s="8"/>
      <c r="F2" s="8"/>
      <c r="G2" s="8"/>
      <c r="H2" s="8"/>
    </row>
    <row r="4" spans="2:8" ht="18.600000000000001" thickBot="1" x14ac:dyDescent="0.4">
      <c r="B4" s="6" t="s">
        <v>0</v>
      </c>
      <c r="C4" s="7">
        <v>43466</v>
      </c>
      <c r="D4" s="7">
        <v>43497</v>
      </c>
      <c r="E4" s="7">
        <v>43525</v>
      </c>
      <c r="F4" s="6"/>
      <c r="G4" s="6" t="s">
        <v>6</v>
      </c>
      <c r="H4" s="6" t="s">
        <v>7</v>
      </c>
    </row>
    <row r="5" spans="2:8" ht="15" thickTop="1" x14ac:dyDescent="0.3"/>
    <row r="6" spans="2:8" x14ac:dyDescent="0.3">
      <c r="B6" t="s">
        <v>1</v>
      </c>
      <c r="C6" s="1">
        <v>1000</v>
      </c>
      <c r="D6" s="1">
        <v>1000</v>
      </c>
      <c r="E6" s="1">
        <v>1000</v>
      </c>
      <c r="F6" s="1"/>
      <c r="G6" s="1">
        <f>SUM(C6:F6)</f>
        <v>3000</v>
      </c>
      <c r="H6" s="3">
        <f>G6/$G$12</f>
        <v>0.58536585365853655</v>
      </c>
    </row>
    <row r="7" spans="2:8" x14ac:dyDescent="0.3">
      <c r="B7" t="s">
        <v>2</v>
      </c>
      <c r="C7" s="2">
        <v>125</v>
      </c>
      <c r="D7" s="2">
        <v>125</v>
      </c>
      <c r="E7" s="2">
        <v>100</v>
      </c>
      <c r="F7" s="2"/>
      <c r="G7" s="2">
        <f>SUM(C7:F7)</f>
        <v>350</v>
      </c>
      <c r="H7" s="3">
        <f>G7/$G$12</f>
        <v>6.8292682926829273E-2</v>
      </c>
    </row>
    <row r="8" spans="2:8" x14ac:dyDescent="0.3">
      <c r="B8" t="s">
        <v>3</v>
      </c>
      <c r="C8" s="2">
        <v>150</v>
      </c>
      <c r="D8" s="2">
        <v>200</v>
      </c>
      <c r="E8" s="2">
        <v>175</v>
      </c>
      <c r="F8" s="2"/>
      <c r="G8" s="2">
        <f>SUM(C8:F8)</f>
        <v>525</v>
      </c>
      <c r="H8" s="3">
        <f>G8/$G$12</f>
        <v>0.1024390243902439</v>
      </c>
    </row>
    <row r="9" spans="2:8" x14ac:dyDescent="0.3">
      <c r="B9" t="s">
        <v>4</v>
      </c>
      <c r="C9" s="2">
        <v>300</v>
      </c>
      <c r="D9" s="2">
        <v>275</v>
      </c>
      <c r="E9" s="2">
        <v>350</v>
      </c>
      <c r="F9" s="2"/>
      <c r="G9" s="2">
        <f>SUM(C9:F9)</f>
        <v>925</v>
      </c>
      <c r="H9" s="3">
        <f>G9/$G$12</f>
        <v>0.18048780487804877</v>
      </c>
    </row>
    <row r="10" spans="2:8" x14ac:dyDescent="0.3">
      <c r="B10" t="s">
        <v>5</v>
      </c>
      <c r="C10" s="1">
        <v>100</v>
      </c>
      <c r="D10" s="1">
        <v>100</v>
      </c>
      <c r="E10" s="1">
        <v>125</v>
      </c>
      <c r="F10" s="1"/>
      <c r="G10" s="1">
        <f>SUM(C10:F10)</f>
        <v>325</v>
      </c>
      <c r="H10" s="3">
        <f>G10/$G$12</f>
        <v>6.3414634146341464E-2</v>
      </c>
    </row>
    <row r="11" spans="2:8" x14ac:dyDescent="0.3">
      <c r="C11" s="1"/>
      <c r="D11" s="1"/>
      <c r="E11" s="1"/>
      <c r="F11" s="1"/>
      <c r="G11" s="1"/>
      <c r="H11" s="4"/>
    </row>
    <row r="12" spans="2:8" x14ac:dyDescent="0.3">
      <c r="B12" t="s">
        <v>6</v>
      </c>
      <c r="C12" s="1">
        <f>SUM(C6:C11)</f>
        <v>1675</v>
      </c>
      <c r="D12" s="1">
        <f>SUM(D6:D11)</f>
        <v>1700</v>
      </c>
      <c r="E12" s="1">
        <f>SUM(E6:E11)</f>
        <v>1750</v>
      </c>
      <c r="F12" s="1"/>
      <c r="G12" s="1">
        <f>SUM(C12:F12)</f>
        <v>5125</v>
      </c>
      <c r="H12" s="4">
        <f>G12/$G$12</f>
        <v>1</v>
      </c>
    </row>
    <row r="14" spans="2:8" x14ac:dyDescent="0.3">
      <c r="B14" s="5" t="s">
        <v>8</v>
      </c>
      <c r="C14">
        <f>MIN(C6:C10)</f>
        <v>100</v>
      </c>
      <c r="D14">
        <f>MIN(D6:D10)</f>
        <v>100</v>
      </c>
      <c r="E14">
        <f>MIN(E6:E10)</f>
        <v>100</v>
      </c>
    </row>
    <row r="15" spans="2:8" x14ac:dyDescent="0.3">
      <c r="B15" s="5" t="s">
        <v>9</v>
      </c>
      <c r="C15">
        <f>MAX(C6:C10)</f>
        <v>1000</v>
      </c>
      <c r="D15">
        <f>MAX(D6:D10)</f>
        <v>1000</v>
      </c>
      <c r="E15">
        <f>MAX(E6:E10)</f>
        <v>1000</v>
      </c>
      <c r="G15">
        <f>SUM(C15:F15)</f>
        <v>3000</v>
      </c>
    </row>
    <row r="16" spans="2:8" x14ac:dyDescent="0.3">
      <c r="B16" s="5" t="s">
        <v>10</v>
      </c>
      <c r="C16">
        <f>AVERAGE(C6:C10)</f>
        <v>335</v>
      </c>
      <c r="D16">
        <f>AVERAGE(D6:D10)</f>
        <v>340</v>
      </c>
      <c r="E16">
        <f>AVERAGE(E6:E10)</f>
        <v>350</v>
      </c>
      <c r="G16">
        <f>SUM(C16:F16)</f>
        <v>1025</v>
      </c>
    </row>
    <row r="17" spans="2:5" x14ac:dyDescent="0.3">
      <c r="B17" s="5" t="s">
        <v>11</v>
      </c>
      <c r="C17">
        <f>COUNT(C6:C10)</f>
        <v>5</v>
      </c>
      <c r="D17">
        <f>COUNT(D6:D10)</f>
        <v>5</v>
      </c>
      <c r="E17">
        <f>COUNT(E6:E10)</f>
        <v>5</v>
      </c>
    </row>
  </sheetData>
  <mergeCells count="1">
    <mergeCell ref="B2:H2"/>
  </mergeCells>
  <conditionalFormatting sqref="C6:E10">
    <cfRule type="cellIs" dxfId="1" priority="1" operator="greaterThan">
      <formula>250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18"/>
  <sheetViews>
    <sheetView tabSelected="1" zoomScale="120" zoomScaleNormal="120" workbookViewId="0">
      <selection activeCell="G15" sqref="G15"/>
    </sheetView>
  </sheetViews>
  <sheetFormatPr defaultRowHeight="14.4" x14ac:dyDescent="0.3"/>
  <cols>
    <col min="2" max="2" width="11.6640625" customWidth="1"/>
    <col min="3" max="3" width="15.33203125" customWidth="1"/>
    <col min="4" max="4" width="14.6640625" customWidth="1"/>
    <col min="5" max="6" width="11" bestFit="1" customWidth="1"/>
  </cols>
  <sheetData>
    <row r="3" spans="1:6" ht="29.4" thickBot="1" x14ac:dyDescent="0.6">
      <c r="A3" s="8" t="s">
        <v>12</v>
      </c>
      <c r="B3" s="8"/>
      <c r="C3" s="8"/>
      <c r="D3" s="8"/>
      <c r="E3" s="8"/>
      <c r="F3" s="8"/>
    </row>
    <row r="5" spans="1:6" ht="18.600000000000001" thickBot="1" x14ac:dyDescent="0.4">
      <c r="A5" s="6" t="s">
        <v>0</v>
      </c>
      <c r="B5" s="7">
        <v>43466</v>
      </c>
      <c r="C5" s="7">
        <v>43497</v>
      </c>
      <c r="D5" s="7">
        <v>43525</v>
      </c>
      <c r="E5" s="6" t="s">
        <v>6</v>
      </c>
      <c r="F5" s="6" t="s">
        <v>7</v>
      </c>
    </row>
    <row r="6" spans="1:6" ht="15" thickTop="1" x14ac:dyDescent="0.3"/>
    <row r="7" spans="1:6" x14ac:dyDescent="0.3">
      <c r="A7" t="s">
        <v>1</v>
      </c>
      <c r="B7" s="1"/>
      <c r="C7" s="1"/>
      <c r="D7" s="1"/>
      <c r="E7" s="1">
        <f>SUM(B7:D7)</f>
        <v>0</v>
      </c>
      <c r="F7" s="3" t="e">
        <f>E7/$E$13</f>
        <v>#DIV/0!</v>
      </c>
    </row>
    <row r="8" spans="1:6" x14ac:dyDescent="0.3">
      <c r="A8" t="s">
        <v>2</v>
      </c>
      <c r="B8" s="2"/>
      <c r="C8" s="2"/>
      <c r="D8" s="2"/>
      <c r="E8" s="2">
        <f>SUM(B8:D8)</f>
        <v>0</v>
      </c>
      <c r="F8" s="3" t="e">
        <f>E8/$E$13</f>
        <v>#DIV/0!</v>
      </c>
    </row>
    <row r="9" spans="1:6" x14ac:dyDescent="0.3">
      <c r="A9" t="s">
        <v>3</v>
      </c>
      <c r="B9" s="2"/>
      <c r="C9" s="2"/>
      <c r="D9" s="2"/>
      <c r="E9" s="2">
        <f>SUM(B9:D9)</f>
        <v>0</v>
      </c>
      <c r="F9" s="3" t="e">
        <f>E9/$E$13</f>
        <v>#DIV/0!</v>
      </c>
    </row>
    <row r="10" spans="1:6" x14ac:dyDescent="0.3">
      <c r="A10" t="s">
        <v>4</v>
      </c>
      <c r="B10" s="2"/>
      <c r="C10" s="2"/>
      <c r="D10" s="2"/>
      <c r="E10" s="2">
        <f>SUM(B10:D10)</f>
        <v>0</v>
      </c>
      <c r="F10" s="3" t="e">
        <f>E10/$E$13</f>
        <v>#DIV/0!</v>
      </c>
    </row>
    <row r="11" spans="1:6" x14ac:dyDescent="0.3">
      <c r="A11" t="s">
        <v>5</v>
      </c>
      <c r="B11" s="1"/>
      <c r="C11" s="1"/>
      <c r="D11" s="1"/>
      <c r="E11" s="1">
        <f>SUM(B11:D11)</f>
        <v>0</v>
      </c>
      <c r="F11" s="3" t="e">
        <f>E11/$E$13</f>
        <v>#DIV/0!</v>
      </c>
    </row>
    <row r="12" spans="1:6" x14ac:dyDescent="0.3">
      <c r="B12" s="1"/>
      <c r="C12" s="1"/>
      <c r="D12" s="1"/>
      <c r="E12" s="1"/>
      <c r="F12" s="4"/>
    </row>
    <row r="13" spans="1:6" x14ac:dyDescent="0.3">
      <c r="A13" t="s">
        <v>6</v>
      </c>
      <c r="B13" s="1">
        <f>SUM(B7:B12)</f>
        <v>0</v>
      </c>
      <c r="C13" s="1">
        <f>SUM(C7:C12)</f>
        <v>0</v>
      </c>
      <c r="D13" s="1">
        <f>SUM(D7:D12)</f>
        <v>0</v>
      </c>
      <c r="E13" s="1">
        <f>SUM(B13:D13)</f>
        <v>0</v>
      </c>
      <c r="F13" s="4" t="e">
        <f>E13/$E$13</f>
        <v>#DIV/0!</v>
      </c>
    </row>
    <row r="15" spans="1:6" x14ac:dyDescent="0.3">
      <c r="A15" s="5" t="s">
        <v>8</v>
      </c>
      <c r="B15">
        <f>MIN(B7:B11)</f>
        <v>0</v>
      </c>
      <c r="C15">
        <f>MIN(C7:C11)</f>
        <v>0</v>
      </c>
      <c r="D15">
        <f>MIN(D7:D11)</f>
        <v>0</v>
      </c>
    </row>
    <row r="16" spans="1:6" x14ac:dyDescent="0.3">
      <c r="A16" s="5" t="s">
        <v>9</v>
      </c>
      <c r="B16">
        <f>MAX(B7:B11)</f>
        <v>0</v>
      </c>
      <c r="C16">
        <f>MAX(C7:C11)</f>
        <v>0</v>
      </c>
      <c r="D16">
        <f>MAX(D7:D11)</f>
        <v>0</v>
      </c>
      <c r="E16">
        <f>SUM(B16:D16)</f>
        <v>0</v>
      </c>
    </row>
    <row r="17" spans="1:5" x14ac:dyDescent="0.3">
      <c r="A17" s="5" t="s">
        <v>10</v>
      </c>
      <c r="B17" t="e">
        <f>AVERAGE(B7:B11)</f>
        <v>#DIV/0!</v>
      </c>
      <c r="C17" t="e">
        <f>AVERAGE(C7:C11)</f>
        <v>#DIV/0!</v>
      </c>
      <c r="D17" t="e">
        <f>AVERAGE(D7:D11)</f>
        <v>#DIV/0!</v>
      </c>
      <c r="E17" t="e">
        <f>SUM(B17:D17)</f>
        <v>#DIV/0!</v>
      </c>
    </row>
    <row r="18" spans="1:5" x14ac:dyDescent="0.3">
      <c r="A18" s="5" t="s">
        <v>11</v>
      </c>
      <c r="B18">
        <f>COUNT(B7:B11)</f>
        <v>0</v>
      </c>
      <c r="C18">
        <f>COUNT(C7:C11)</f>
        <v>0</v>
      </c>
      <c r="D18">
        <f>COUNT(D7:D11)</f>
        <v>0</v>
      </c>
    </row>
  </sheetData>
  <mergeCells count="1">
    <mergeCell ref="A3:F3"/>
  </mergeCells>
  <conditionalFormatting sqref="B7:D11">
    <cfRule type="cellIs" dxfId="0" priority="1" operator="greaterThan">
      <formula>250</formula>
    </cfRule>
  </conditionalFormatting>
  <printOptions horizontalCentered="1"/>
  <pageMargins left="1.1023622047244095" right="0.70866141732283472" top="0.74803149606299213" bottom="0.74803149606299213" header="0.31496062992125984" footer="0.31496062992125984"/>
  <pageSetup orientation="portrait" r:id="rId1"/>
  <headerFooter>
    <oddHeader>&amp;C2019 Monthly Budget&amp;RShivam kumar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Monthly budget</vt:lpstr>
      <vt:lpstr>Monthly budget-pie chart</vt:lpstr>
      <vt:lpstr>Sheet1</vt:lpstr>
      <vt:lpstr>'Monthly budget-pie chart'!Print_Area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2023-12-08T06:27:46Z</dcterms:modified>
</cp:coreProperties>
</file>